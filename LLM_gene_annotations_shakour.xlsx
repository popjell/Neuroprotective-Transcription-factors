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98f8b90b343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a9b8d24d374e68"/>
    <x:sheet xmlns:r="http://schemas.openxmlformats.org/officeDocument/2006/relationships" name="README" sheetId="2" r:id="Rdd32445de9d14655"/>
    <x:sheet xmlns:r="http://schemas.openxmlformats.org/officeDocument/2006/relationships" name="Input List" sheetId="3" r:id="R7c683e4d7c4645a0"/>
    <x:sheet xmlns:r="http://schemas.openxmlformats.org/officeDocument/2006/relationships" name="Master Annotation" sheetId="4" r:id="R0136047cac854969"/>
    <x:sheet xmlns:r="http://schemas.openxmlformats.org/officeDocument/2006/relationships" name="Metabolism" sheetId="5" r:id="R86470b57d9514cde"/>
    <x:sheet xmlns:r="http://schemas.openxmlformats.org/officeDocument/2006/relationships" name="Cell Death" sheetId="6" r:id="R14ba731bf2ed4eda"/>
    <x:sheet xmlns:r="http://schemas.openxmlformats.org/officeDocument/2006/relationships" name="Other Pathways" sheetId="7" r:id="Rbb1a49fcd7644078"/>
    <x:sheet xmlns:r="http://schemas.openxmlformats.org/officeDocument/2006/relationships" name="References" sheetId="8" r:id="Rff275ebb02ee45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F2937"/>
      <x:name val="Carlito"/>
    </x:font>
    <x:font>
      <x:sz val="11"/>
      <x:color rgb="FF1F2937"/>
      <x:name val="Carlito"/>
    </x:font>
    <x:font>
      <x:b/>
      <x:sz val="11"/>
      <x:color rgb="FF16324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0F6B78"/>
      </x:patternFill>
    </x:fill>
    <x:fill>
      <x:patternFill patternType="solid">
        <x:fgColor rgb="FFF3F4F6"/>
      </x:patternFill>
    </x:fill>
    <x:fill>
      <x:patternFill patternType="solid">
        <x:fgColor rgb="FF1F4E78"/>
      </x:patternFill>
    </x:fill>
    <x:fill>
      <x:patternFill patternType="solid">
        <x:fgColor rgb="FF2F6B4F"/>
      </x:patternFill>
    </x:fill>
    <x:fill>
      <x:patternFill patternType="solid">
        <x:fgColor rgb="FF9C3D3D"/>
      </x:patternFill>
    </x:fill>
    <x:fill>
      <x:patternFill patternType="solid">
        <x:fgColor rgb="FF65507A"/>
      </x:patternFill>
    </x:fill>
    <x:fill>
      <x:patternFill patternType="solid">
        <x:fgColor rgb="FF4B5563"/>
      </x:patternFill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EAF5EE"/>
      </x:patternFill>
    </x:fill>
    <x:fill>
      <x:patternFill patternType="solid">
        <x:fgColor rgb="FFFBECEC"/>
      </x:patternFill>
    </x:fill>
    <x:fill>
      <x:patternFill patternType="solid">
        <x:fgColor rgb="FFFFF4D6"/>
      </x:patternFill>
    </x:fill>
  </x:fills>
  <x:borders count="11"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E5E7EB"/>
      </x:bottom>
    </x:border>
    <x:border>
      <x:top style="thin">
        <x:color rgb="FFD1D5DB"/>
      </x:top>
      <x:bottom style="thin">
        <x:color rgb="FFE5E7EB"/>
      </x:bottom>
    </x:border>
    <x:border>
      <x:left style="thin">
        <x:color rgb="FFD1D5DB"/>
      </x:lef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thin">
        <x:color rgb="FFD1D5DB"/>
      </x:left>
      <x:top style="thin">
        <x:color rgb="FFE5E7EB"/>
      </x:top>
      <x:bottom style="thin">
        <x:color rgb="FFD1D5DB"/>
      </x:bottom>
    </x:border>
    <x:border>
      <x:top style="thin">
        <x:color rgb="FFE5E7E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0" fontId="1" fillId="6" borderId="4" xfId="0" applyNumberFormat="1" applyFont="1" applyFill="1" applyBorder="1" applyAlignment="1">
      <x:alignment vertical="center" wrapText="1"/>
    </x:xf>
    <x:xf numFmtId="0" fontId="1" fillId="6" borderId="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7" borderId="2" xfId="0" applyNumberFormat="1" applyFont="1" applyFill="1" applyBorder="1" applyAlignment="1">
      <x:alignment vertical="center" wrapText="1"/>
    </x:xf>
    <x:xf numFmtId="0" fontId="1" fillId="7" borderId="3" xfId="0" applyNumberFormat="1" applyFont="1" applyFill="1" applyBorder="1" applyAlignment="1">
      <x:alignment vertical="center" wrapText="1"/>
    </x:xf>
    <x:xf numFmtId="0" fontId="1" fillId="7" borderId="4" xfId="0" applyNumberFormat="1" applyFont="1" applyFill="1" applyBorder="1" applyAlignment="1">
      <x:alignment vertical="center" wrapText="1"/>
    </x:xf>
    <x:xf numFmtId="0" fontId="1" fillId="7" borderId="5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2" xfId="0" applyNumberFormat="1" applyFont="1" applyFill="1" applyBorder="1" applyAlignment="1">
      <x:alignment wrapText="1"/>
    </x:xf>
    <x:xf numFmtId="0" fontId="1" fillId="8" borderId="3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1" fillId="8" borderId="3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0" fontId="1" fillId="8" borderId="5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wrapText="1"/>
    </x:xf>
    <x:xf numFmtId="0" fontId="1" fillId="9" borderId="10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2" borderId="10" xfId="0" applyNumberFormat="1" applyFont="1" applyFill="1" applyBorder="1"/>
    <x:xf numFmtId="0" fontId="1" fillId="2" borderId="10" xfId="0" applyNumberFormat="1" applyFont="1" applyFill="1" applyBorder="1"/>
    <x:xf numFmtId="0" fontId="0" fillId="10" borderId="10" xfId="0" applyNumberFormat="1" applyFont="1" applyFill="1" applyBorder="1"/>
    <x:xf numFmtId="0" fontId="3" fillId="10" borderId="10" xfId="0" applyNumberFormat="1" applyFont="1" applyFill="1" applyBorder="1"/>
    <x:xf numFmtId="0" fontId="3" fillId="10" borderId="10" xfId="0" applyNumberFormat="1" applyFont="1" applyFill="1" applyBorder="1" applyAlignment="1">
      <x:alignment wrapText="1"/>
    </x:xf>
    <x:xf numFmtId="0" fontId="4" fillId="0" borderId="10" xfId="0" applyNumberFormat="1" applyFont="1" applyFill="1" applyBorder="1"/>
    <x:xf numFmtId="0" fontId="4" fillId="0" borderId="10" xfId="0" applyNumberFormat="1" applyFont="1" applyFill="1" applyBorder="1" applyAlignment="1">
      <x:alignment horizontal="right"/>
    </x:xf>
    <x:xf numFmtId="200" fontId="4" fillId="0" borderId="10" xfId="0" applyNumberFormat="1" applyFont="1" applyFill="1" applyBorder="1" applyAlignment="1">
      <x:alignment horizontal="right"/>
    </x:xf>
    <x:xf numFmtId="0" fontId="0" fillId="5" borderId="10" xfId="0" applyNumberFormat="1" applyFont="1" applyFill="1" applyBorder="1"/>
    <x:xf numFmtId="0" fontId="1" fillId="5" borderId="10" xfId="0" applyNumberFormat="1" applyFont="1" applyFill="1" applyBorder="1"/>
    <x:xf numFmtId="0" fontId="1" fillId="5" borderId="10" xfId="0" applyNumberFormat="1" applyFont="1" applyFill="1" applyBorder="1" applyAlignment="1">
      <x:alignment wrapText="1"/>
    </x:xf>
    <x:xf numFmtId="0" fontId="0" fillId="11" borderId="10" xfId="0" applyNumberFormat="1" applyFont="1" applyFill="1" applyBorder="1"/>
    <x:xf numFmtId="0" fontId="0" fillId="11" borderId="10" xfId="0" applyNumberFormat="1" applyFont="1" applyFill="1" applyBorder="1" applyAlignment="1">
      <x:alignment wrapText="1"/>
    </x:xf>
    <x:xf numFmtId="200" fontId="0" fillId="0" borderId="10" xfId="0" applyNumberFormat="1" applyFont="1" applyFill="1" applyBorder="1"/>
    <x:xf numFmtId="0" fontId="0" fillId="6" borderId="10" xfId="0" applyNumberFormat="1" applyFont="1" applyFill="1" applyBorder="1"/>
    <x:xf numFmtId="0" fontId="1" fillId="6" borderId="10" xfId="0" applyNumberFormat="1" applyFont="1" applyFill="1" applyBorder="1"/>
    <x:xf numFmtId="0" fontId="1" fillId="6" borderId="10" xfId="0" applyNumberFormat="1" applyFont="1" applyFill="1" applyBorder="1" applyAlignment="1">
      <x:alignment wrapText="1"/>
    </x:xf>
    <x:xf numFmtId="0" fontId="0" fillId="12" borderId="10" xfId="0" applyNumberFormat="1" applyFont="1" applyFill="1" applyBorder="1"/>
    <x:xf numFmtId="0" fontId="0" fillId="12" borderId="1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</x:cellXfs>
  <x:cellStyles count="1">
    <x:cellStyle name="Normal" xfId="0"/>
  </x:cellStyles>
  <x:dxfs count="1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6373e063d74533" /><Relationship Type="http://schemas.openxmlformats.org/officeDocument/2006/relationships/theme" Target="/xl/theme/theme1.xml" Id="Rd5d1f221fe9d41f9" /><Relationship Type="http://schemas.openxmlformats.org/officeDocument/2006/relationships/sharedStrings" Target="/xl/sharedStrings.xml" Id="R6dad1209421f4de8" /><Relationship Type="http://schemas.openxmlformats.org/officeDocument/2006/relationships/worksheet" Target="/xl/worksheets/sheet1.xml" Id="R03a9b8d24d374e68" /><Relationship Type="http://schemas.openxmlformats.org/officeDocument/2006/relationships/worksheet" Target="/xl/worksheets/sheet2.xml" Id="Rdd32445de9d14655" /><Relationship Type="http://schemas.openxmlformats.org/officeDocument/2006/relationships/worksheet" Target="/xl/worksheets/sheet3.xml" Id="R7c683e4d7c4645a0" /><Relationship Type="http://schemas.openxmlformats.org/officeDocument/2006/relationships/worksheet" Target="/xl/worksheets/sheet4.xml" Id="R0136047cac854969" /><Relationship Type="http://schemas.openxmlformats.org/officeDocument/2006/relationships/worksheet" Target="/xl/worksheets/sheet5.xml" Id="R86470b57d9514cde" /><Relationship Type="http://schemas.openxmlformats.org/officeDocument/2006/relationships/worksheet" Target="/xl/worksheets/sheet6.xml" Id="R14ba731bf2ed4eda" /><Relationship Type="http://schemas.openxmlformats.org/officeDocument/2006/relationships/worksheet" Target="/xl/worksheets/sheet7.xml" Id="Rbb1a49fcd7644078" /><Relationship Type="http://schemas.openxmlformats.org/officeDocument/2006/relationships/worksheet" Target="/xl/worksheets/sheet8.xml" Id="Rff275ebb02ee4568" /></Relationships>
</file>

<file path=xl/tables/table1.xml><?xml version="1.0" encoding="utf-8"?>
<x:table xmlns:x="http://schemas.openxmlformats.org/spreadsheetml/2006/main" id="1" name="InputGeneTable" displayName="InputGeneTable" ref="A3:H218" headerRowCount="1" totalsRowCount="0" totalsRowShown="0">
  <x:tableColumns count="8">
    <x:tableColumn id="1" name="Input #"/>
    <x:tableColumn id="2" name="Mouse symbol"/>
    <x:tableColumn id="3" name="Species"/>
    <x:tableColumn id="4" name="Mouse-symbol status"/>
    <x:tableColumn id="5" name="Human ortholog / closest analog"/>
    <x:tableColumn id="6" name="Orthology status / caution"/>
    <x:tableColumn id="7" name="MGI source"/>
    <x:tableColumn id="8" name="NCBI Gene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sterAnnotationTable" displayName="MasterAnnotationTable" ref="A3:T218" headerRowCount="1" totalsRowCount="0" totalsRowShown="0">
  <x:tableColumns count="20">
    <x:tableColumn id="1" name="Input #"/>
    <x:tableColumn id="2" name="Mouse symbol"/>
    <x:tableColumn id="3" name="Human ortholog / analog"/>
    <x:tableColumn id="4" name="Orthology status"/>
    <x:tableColumn id="5" name="Metabolism classification"/>
    <x:tableColumn id="6" name="Metabolic pathway(s)"/>
    <x:tableColumn id="7" name="Exact metabolic relation"/>
    <x:tableColumn id="8" name="Cell-death classification"/>
    <x:tableColumn id="9" name="Cell-death modality/modalities"/>
    <x:tableColumn id="10" name="Exact cell-death relation"/>
    <x:tableColumn id="11" name="Other pathway(s)"/>
    <x:tableColumn id="12" name="Core function"/>
    <x:tableColumn id="13" name="Overall confidence"/>
    <x:tableColumn id="14" name="Selected reference keys"/>
    <x:tableColumn id="15" name="MGI"/>
    <x:tableColumn id="16" name="UniProt"/>
    <x:tableColumn id="17" name="NCBI Gene"/>
    <x:tableColumn id="18" name="Reactome"/>
    <x:tableColumn id="19" name="Targeted PubMed search"/>
    <x:tableColumn id="20" name="Curation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abolismAnnotationTable" displayName="MetabolismAnnotationTable" ref="A3:N71" headerRowCount="1" totalsRowCount="0" totalsRowShown="0">
  <x:tableColumns count="14">
    <x:tableColumn id="1" name="Mouse symbol"/>
    <x:tableColumn id="2" name="Human ortholog / analog"/>
    <x:tableColumn id="3" name="Broad metabolic category"/>
    <x:tableColumn id="4" name="Subpathway"/>
    <x:tableColumn id="5" name="Role class"/>
    <x:tableColumn id="6" name="Directness"/>
    <x:tableColumn id="7" name="Exact function / relation"/>
    <x:tableColumn id="8" name="Context / caveat"/>
    <x:tableColumn id="9" name="Evidence strength"/>
    <x:tableColumn id="10" name="Reference keys"/>
    <x:tableColumn id="11" name="Peer-reviewed reference URL(s)"/>
    <x:tableColumn id="12" name="MGI"/>
    <x:tableColumn id="13" name="UniProt"/>
    <x:tableColumn id="14" name="Reactom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ellDeathAnnotationTable" displayName="CellDeathAnnotationTable" ref="A3:N51" headerRowCount="1" totalsRowCount="0" totalsRowShown="0">
  <x:tableColumns count="14">
    <x:tableColumn id="1" name="Mouse symbol"/>
    <x:tableColumn id="2" name="Human ortholog / analog"/>
    <x:tableColumn id="3" name="Broad death category"/>
    <x:tableColumn id="4" name="Specific modality / relation"/>
    <x:tableColumn id="5" name="Relation class"/>
    <x:tableColumn id="6" name="Effect"/>
    <x:tableColumn id="7" name="Exact function / relation"/>
    <x:tableColumn id="8" name="Context / caveat"/>
    <x:tableColumn id="9" name="Evidence strength"/>
    <x:tableColumn id="10" name="Reference keys"/>
    <x:tableColumn id="11" name="Peer-reviewed reference URL(s)"/>
    <x:tableColumn id="12" name="MGI"/>
    <x:tableColumn id="13" name="UniProt"/>
    <x:tableColumn id="14" name="Reactom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therPathwayTable" displayName="OtherPathwayTable" ref="A3:K218" headerRowCount="1" totalsRowCount="0" totalsRowShown="0">
  <x:tableColumns count="11">
    <x:tableColumn id="1" name="Mouse symbol"/>
    <x:tableColumn id="2" name="Human ortholog / analog"/>
    <x:tableColumn id="3" name="Other pathway group(s)"/>
    <x:tableColumn id="4" name="Exact core function"/>
    <x:tableColumn id="5" name="Confidence"/>
    <x:tableColumn id="6" name="Database/reference keys"/>
    <x:tableColumn id="7" name="MGI"/>
    <x:tableColumn id="8" name="UniProt"/>
    <x:tableColumn id="9" name="NCBI Gene"/>
    <x:tableColumn id="10" name="Reactome"/>
    <x:tableColumn id="11" name="Targeted PubMed search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ferenceTable" displayName="ReferenceTable" ref="A3:H39" headerRowCount="1" totalsRowCount="0" totalsRowShown="0">
  <x:tableColumns count="8">
    <x:tableColumn id="1" name="Reference key"/>
    <x:tableColumn id="2" name="Category"/>
    <x:tableColumn id="3" name="Full citation"/>
    <x:tableColumn id="4" name="Evidence type"/>
    <x:tableColumn id="5" name="PMID / accession"/>
    <x:tableColumn id="6" name="DOI"/>
    <x:tableColumn id="7" name="URL"/>
    <x:tableColumn id="8" name="Used for / 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f8ed0dd867746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06e6c6193e242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8c8e6cee98a41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025a1d8a80a4e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6d6a35281c443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099af2fc35342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3" hidden="0" customWidth="1"/>
    <x:col min="4" max="4" width="36" hidden="0" customWidth="1"/>
    <x:col min="5" max="5" width="16" hidden="0" customWidth="1"/>
    <x:col min="6" max="6" width="3" hidden="0" customWidth="1"/>
    <x:col min="7" max="7" width="40" hidden="0" customWidth="1"/>
    <x:col min="8" max="8" width="16" hidden="0" customWidth="1"/>
  </x:cols>
  <x:sheetData>
    <x:row r="1" ht="28" customHeight="1">
      <x:c r="A1" s="3" t="str">
        <x:v>Curation summary and coverage</x:v>
      </x:c>
      <x:c r="B1" s="3"/>
      <x:c r="C1" s="3"/>
      <x:c r="D1" s="3"/>
      <x:c r="E1" s="3"/>
      <x:c r="F1" s="3"/>
      <x:c r="G1" s="3"/>
      <x:c r="H1" s="3"/>
    </x:row>
    <x:row r="3">
      <x:c r="A3" s="104" t="str">
        <x:v>Coverage metric</x:v>
      </x:c>
      <x:c r="B3" s="104" t="str">
        <x:v>Count</x:v>
      </x:c>
      <x:c r="D3" s="113" t="str">
        <x:v>Metabolic category</x:v>
      </x:c>
      <x:c r="E3" s="113" t="str">
        <x:v>Annotation records</x:v>
      </x:c>
      <x:c r="G3" s="119" t="str">
        <x:v>Broad cell-death category</x:v>
      </x:c>
      <x:c r="H3" s="119" t="str">
        <x:v>Annotation records</x:v>
      </x:c>
    </x:row>
    <x:row r="4">
      <x:c r="A4" s="107" t="str">
        <x:v>Submitted mouse entries</x:v>
      </x:c>
      <x:c r="B4" s="110" t="n">
        <x:f>COUNTA('Input List'!$B$4:$B$218)</x:f>
        <x:v>215</x:v>
      </x:c>
      <x:c r="D4" s="115" t="str">
        <x:v>Amino-acid and peptide metabolism</x:v>
      </x:c>
      <x:c r="E4" s="116" t="n">
        <x:f>COUNTIF('Metabolism'!$C$4:$C$71,"Amino-acid and peptide metabolism")</x:f>
        <x:v>2</x:v>
      </x:c>
      <x:c r="G4" s="121" t="str">
        <x:v>Antiviral RNase-L-associated death</x:v>
      </x:c>
      <x:c r="H4" s="116" t="n">
        <x:f>COUNTIF('Cell Death'!$C$4:$C$51,"Antiviral RNase-L-associated death")</x:f>
        <x:v>1</x:v>
      </x:c>
    </x:row>
    <x:row r="5">
      <x:c r="A5" s="107" t="str">
        <x:v>Genes with any metabolism annotation</x:v>
      </x:c>
      <x:c r="B5" s="110" t="n">
        <x:f>COUNTIF('Master Annotation'!$E$4:$E$218,"&lt;&gt;No curated metabolic role")</x:f>
        <x:v>62</x:v>
      </x:c>
      <x:c r="D5" s="115" t="str">
        <x:v>Carbohydrate and central-carbon metabolism</x:v>
      </x:c>
      <x:c r="E5" s="116" t="n">
        <x:f>COUNTIF('Metabolism'!$C$4:$C$71,"Carbohydrate and central-carbon metabolism")</x:f>
        <x:v>2</x:v>
      </x:c>
      <x:c r="G5" s="121" t="str">
        <x:v>Apoptosis</x:v>
      </x:c>
      <x:c r="H5" s="116" t="n">
        <x:f>COUNTIF('Cell Death'!$C$4:$C$51,"Apoptosis")</x:f>
        <x:v>15</x:v>
      </x:c>
    </x:row>
    <x:row r="6">
      <x:c r="A6" s="107" t="str">
        <x:v>Genes with direct biochemical/transport metabolism</x:v>
      </x:c>
      <x:c r="B6" s="110" t="n">
        <x:f>COUNTIF('Master Annotation'!$E$4:$E$218,"Direct biochemical/transport role")</x:f>
        <x:v>48</x:v>
      </x:c>
      <x:c r="D6" s="115" t="str">
        <x:v>Glycan and glycoprotein metabolism</x:v>
      </x:c>
      <x:c r="E6" s="116" t="n">
        <x:f>COUNTIF('Metabolism'!$C$4:$C$71,"Glycan and glycoprotein metabolism")</x:f>
        <x:v>3</x:v>
      </x:c>
      <x:c r="G6" s="121" t="str">
        <x:v>Cell-survival regulation</x:v>
      </x:c>
      <x:c r="H6" s="116" t="n">
        <x:f>COUNTIF('Cell Death'!$C$4:$C$51,"Cell-survival regulation")</x:f>
        <x:v>1</x:v>
      </x:c>
    </x:row>
    <x:row r="7">
      <x:c r="A7" s="107" t="str">
        <x:v>Metabolism gene-pathway records</x:v>
      </x:c>
      <x:c r="B7" s="110" t="n">
        <x:f>COUNTA('Metabolism'!$A$4:$A$71)</x:f>
        <x:v>68</x:v>
      </x:c>
      <x:c r="D7" s="115" t="str">
        <x:v>Ion homeostasis</x:v>
      </x:c>
      <x:c r="E7" s="116" t="n">
        <x:f>COUNTIF('Metabolism'!$C$4:$C$71,"Ion homeostasis")</x:f>
        <x:v>1</x:v>
      </x:c>
      <x:c r="G7" s="121" t="str">
        <x:v>Complement-mediated lytic death</x:v>
      </x:c>
      <x:c r="H7" s="116" t="n">
        <x:f>COUNTIF('Cell Death'!$C$4:$C$51,"Complement-mediated lytic death")</x:f>
        <x:v>1</x:v>
      </x:c>
    </x:row>
    <x:row r="8">
      <x:c r="A8" s="107" t="str">
        <x:v>Genes with any cell-death relation</x:v>
      </x:c>
      <x:c r="B8" s="110" t="n">
        <x:f>COUNTIF('Master Annotation'!$H$4:$H$218,"&lt;&gt;No curated cell-death relation")</x:f>
        <x:v>45</x:v>
      </x:c>
      <x:c r="D8" s="115" t="str">
        <x:v>Lipid, sterol and lipoprotein metabolism</x:v>
      </x:c>
      <x:c r="E8" s="116" t="n">
        <x:f>COUNTIF('Metabolism'!$C$4:$C$71,"Lipid, sterol and lipoprotein metabolism")</x:f>
        <x:v>11</x:v>
      </x:c>
      <x:c r="G8" s="121" t="str">
        <x:v>Efferocytosis / post-death clearance</x:v>
      </x:c>
      <x:c r="H8" s="116" t="n">
        <x:f>COUNTIF('Cell Death'!$C$4:$C$51,"Efferocytosis / post-death clearance")</x:f>
        <x:v>6</x:v>
      </x:c>
    </x:row>
    <x:row r="9">
      <x:c r="A9" s="107" t="str">
        <x:v>Genes with mechanistic cell-death relation</x:v>
      </x:c>
      <x:c r="B9" s="110" t="n">
        <x:f>COUNTIF('Master Annotation'!$H$4:$H$218,"Mechanistic pathway relation")</x:f>
        <x:v>6</x:v>
      </x:c>
      <x:c r="D9" s="115" t="str">
        <x:v>Lysosomal metabolism</x:v>
      </x:c>
      <x:c r="E9" s="116" t="n">
        <x:f>COUNTIF('Metabolism'!$C$4:$C$71,"Lysosomal metabolism")</x:f>
        <x:v>1</x:v>
      </x:c>
      <x:c r="G9" s="121" t="str">
        <x:v>Ferroptosis / lipid-peroxidation death</x:v>
      </x:c>
      <x:c r="H9" s="116" t="n">
        <x:f>COUNTIF('Cell Death'!$C$4:$C$51,"Ferroptosis / lipid-peroxidation death")</x:f>
        <x:v>5</x:v>
      </x:c>
    </x:row>
    <x:row r="10">
      <x:c r="A10" s="107" t="str">
        <x:v>Cell-death gene-modality records</x:v>
      </x:c>
      <x:c r="B10" s="110" t="n">
        <x:f>COUNTA('Cell Death'!$A$4:$A$51)</x:f>
        <x:v>48</x:v>
      </x:c>
      <x:c r="D10" s="115" t="str">
        <x:v>Metabolic regulation and nutrient sensing</x:v>
      </x:c>
      <x:c r="E10" s="116" t="n">
        <x:f>COUNTIF('Metabolism'!$C$4:$C$71,"Metabolic regulation and nutrient sensing")</x:f>
        <x:v>6</x:v>
      </x:c>
      <x:c r="G10" s="121" t="str">
        <x:v>Immunogenic cell death / efferocytosis</x:v>
      </x:c>
      <x:c r="H10" s="116" t="n">
        <x:f>COUNTIF('Cell Death'!$C$4:$C$51,"Immunogenic cell death / efferocytosis")</x:f>
        <x:v>1</x:v>
      </x:c>
    </x:row>
    <x:row r="11">
      <x:c r="A11" s="107" t="str">
        <x:v>Genes represented in Other Pathways</x:v>
      </x:c>
      <x:c r="B11" s="110" t="n">
        <x:f>COUNTA('Other Pathways'!$A$4:$A$218)</x:f>
        <x:v>215</x:v>
      </x:c>
      <x:c r="D11" s="115" t="str">
        <x:v>Metal, iron and heme homeostasis</x:v>
      </x:c>
      <x:c r="E11" s="116" t="n">
        <x:f>COUNTIF('Metabolism'!$C$4:$C$71,"Metal, iron and heme homeostasis")</x:f>
        <x:v>5</x:v>
      </x:c>
      <x:c r="G11" s="121" t="str">
        <x:v>Lysosome-dependent cell death</x:v>
      </x:c>
      <x:c r="H11" s="116" t="n">
        <x:f>COUNTIF('Cell Death'!$C$4:$C$51,"Lysosome-dependent cell death")</x:f>
        <x:v>3</x:v>
      </x:c>
    </x:row>
    <x:row r="12">
      <x:c r="D12" s="115" t="str">
        <x:v>Mitochondrial bioenergetics</x:v>
      </x:c>
      <x:c r="E12" s="116" t="n">
        <x:f>COUNTIF('Metabolism'!$C$4:$C$71,"Mitochondrial bioenergetics")</x:f>
        <x:v>1</x:v>
      </x:c>
      <x:c r="G12" s="121" t="str">
        <x:v>NET-associated / oxidative cell death</x:v>
      </x:c>
      <x:c r="H12" s="116" t="n">
        <x:f>COUNTIF('Cell Death'!$C$4:$C$51,"NET-associated / oxidative cell death")</x:f>
        <x:v>3</x:v>
      </x:c>
    </x:row>
    <x:row r="13">
      <x:c r="D13" s="115" t="str">
        <x:v>Nucleotide and cofactor metabolism</x:v>
      </x:c>
      <x:c r="E13" s="116" t="n">
        <x:f>COUNTIF('Metabolism'!$C$4:$C$71,"Nucleotide and cofactor metabolism")</x:f>
        <x:v>5</x:v>
      </x:c>
      <x:c r="G13" s="121" t="str">
        <x:v>Necroptosis</x:v>
      </x:c>
      <x:c r="H13" s="116" t="n">
        <x:f>COUNTIF('Cell Death'!$C$4:$C$51,"Necroptosis")</x:f>
        <x:v>2</x:v>
      </x:c>
    </x:row>
    <x:row r="14">
      <x:c r="D14" s="115" t="str">
        <x:v>Protein turnover, processing and proteostasis</x:v>
      </x:c>
      <x:c r="E14" s="116" t="n">
        <x:f>COUNTIF('Metabolism'!$C$4:$C$71,"Protein turnover, processing and proteostasis")</x:f>
        <x:v>21</x:v>
      </x:c>
      <x:c r="G14" s="121" t="str">
        <x:v>Oxidative/inflammatory or other regulated cell-death relation</x:v>
      </x:c>
      <x:c r="H14" s="116" t="n">
        <x:f>COUNTIF('Cell Death'!$C$4:$C$51,"Oxidative/inflammatory or other regulated cell-death relation")</x:f>
        <x:v>2</x:v>
      </x:c>
    </x:row>
    <x:row r="15">
      <x:c r="D15" s="115" t="str">
        <x:v>Redox metabolism</x:v>
      </x:c>
      <x:c r="E15" s="116" t="n">
        <x:f>COUNTIF('Metabolism'!$C$4:$C$71,"Redox metabolism")</x:f>
        <x:v>8</x:v>
      </x:c>
      <x:c r="G15" s="121" t="str">
        <x:v>Programmed axon degeneration</x:v>
      </x:c>
      <x:c r="H15" s="116" t="n">
        <x:f>COUNTIF('Cell Death'!$C$4:$C$51,"Programmed axon degeneration")</x:f>
        <x:v>1</x:v>
      </x:c>
    </x:row>
    <x:row r="16">
      <x:c r="D16" s="115" t="str">
        <x:v>Xenobiotic and endobiotic handling</x:v>
      </x:c>
      <x:c r="E16" s="116" t="n">
        <x:f>COUNTIF('Metabolism'!$C$4:$C$71,"Xenobiotic and endobiotic handling")</x:f>
        <x:v>2</x:v>
      </x:c>
      <x:c r="G16" s="121" t="str">
        <x:v>Pyroptosis / inflammasome-linked death</x:v>
      </x:c>
      <x:c r="H16" s="116" t="n">
        <x:f>COUNTIF('Cell Death'!$C$4:$C$51,"Pyroptosis / inflammasome-linked death")</x:f>
        <x:v>7</x:v>
      </x:c>
    </x:row>
    <x:row r="18">
      <x:c r="A18" s="124" t="str">
        <x:v>Interpretation note: counts are curated gene-function records, not statistical enrichment results. A gene can contribute to more than one pathway or death modality.</x:v>
      </x:c>
      <x:c r="B18" s="124"/>
      <x:c r="C18" s="124"/>
      <x:c r="D18" s="124"/>
      <x:c r="E18" s="124"/>
      <x:c r="F18" s="124"/>
      <x:c r="G18" s="124"/>
      <x:c r="H18" s="124"/>
    </x:row>
  </x:sheetData>
  <x:mergeCells>
    <x:mergeCell ref="A1:H1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8" hidden="0" customWidth="1"/>
  </x:cols>
  <x:sheetData>
    <x:row r="1" ht="28" customHeight="1">
      <x:c r="A1" s="98" t="str">
        <x:v>Mouse gene pathway/function curation: methods and interpretation</x:v>
      </x:c>
      <x:c r="B1" s="98"/>
    </x:row>
    <x:row r="3">
      <x:c r="A3" s="100" t="str">
        <x:v>Field</x:v>
      </x:c>
      <x:c r="B3" s="100" t="str">
        <x:v>Definition / method</x:v>
      </x:c>
    </x:row>
    <x:row r="4">
      <x:c r="A4" s="101" t="str">
        <x:v>Input</x:v>
      </x:c>
      <x:c r="B4" s="101" t="str">
        <x:v>215 mouse gene symbols from Common_List(1).xlsx; the workbook contains 215 entries rather than 216.</x:v>
      </x:c>
    </x:row>
    <x:row r="5">
      <x:c r="A5" s="101" t="str">
        <x:v>Species</x:v>
      </x:c>
      <x:c r="B5" s="101" t="str">
        <x:v>Primary annotation is Mus musculus. Human functional evidence was used when the orthology relationship is clear and conserved.</x:v>
      </x:c>
    </x:row>
    <x:row r="6">
      <x:c r="A6" s="101" t="str">
        <x:v>Human mapping</x:v>
      </x:c>
      <x:c r="B6" s="101" t="str">
        <x:v>Strict orthologs, many-to-one paralog mappings, complex immune-family mappings and functional analogs are distinguished. Empty human fields mean no high-confidence human counterpart was retained.</x:v>
      </x:c>
    </x:row>
    <x:row r="7">
      <x:c r="A7" s="101" t="str">
        <x:v>No GO analysis</x:v>
      </x:c>
      <x:c r="B7" s="101" t="str">
        <x:v>No Gene Ontology enrichment or GO-term assignment pipeline was used. GO-derived enrichment statistics are absent.</x:v>
      </x:c>
    </x:row>
    <x:row r="8">
      <x:c r="A8" s="101" t="str">
        <x:v>Metabolism definition</x:v>
      </x:c>
      <x:c r="B8" s="101" t="str">
        <x:v>Includes direct biochemical reactions, metabolite/cofactor transport or binding, lysosomal/proteasomal turnover, redox reactions and explicitly supported upstream metabolic regulation. Second-messenger lipid conversion is separated from bulk lipid metabolism.</x:v>
      </x:c>
    </x:row>
    <x:row r="9">
      <x:c r="A9" s="101" t="str">
        <x:v>Metabolism directness</x:v>
      </x:c>
      <x:c r="B9" s="101" t="str">
        <x:v>Direct biochemical/transport roles are separated from regulatory/contextual, predicted and disputed associations.</x:v>
      </x:c>
    </x:row>
    <x:row r="10">
      <x:c r="A10" s="101" t="str">
        <x:v>Cell-death definition</x:v>
      </x:c>
      <x:c r="B10" s="101" t="str">
        <x:v>Uses NCCD mechanistic terminology. A gene is not labelled as a death gene solely because it changes after stress or correlates with dying cells.</x:v>
      </x:c>
    </x:row>
    <x:row r="11">
      <x:c r="A11" s="101" t="str">
        <x:v>Cell-death relation classes</x:v>
      </x:c>
      <x:c r="B11" s="101" t="str">
        <x:v>Core/upstream mechanisms, contextual modifiers, cargo/readouts, survival pathways and efferocytosis/post-death clearance are kept separate.</x:v>
      </x:c>
    </x:row>
    <x:row r="12">
      <x:c r="A12" s="101" t="str">
        <x:v>Autophagy caution</x:v>
      </x:c>
      <x:c r="B12" s="101" t="str">
        <x:v>Autophagy/proteostasis is not called autophagy-dependent cell death unless the available evidence makes autophagy causally required for death.</x:v>
      </x:c>
    </x:row>
    <x:row r="13">
      <x:c r="A13" s="101" t="str">
        <x:v>Evidence strength</x:v>
      </x:c>
      <x:c r="B13" s="101" t="str">
        <x:v>High: established biochemical function or replicated mechanistic literature. Moderate: supported but context/species dependent. Low: predicted, family-inferred or limited evidence.</x:v>
      </x:c>
    </x:row>
    <x:row r="14">
      <x:c r="A14" s="101" t="str">
        <x:v>Gene-specific sources</x:v>
      </x:c>
      <x:c r="B14" s="101" t="str">
        <x:v>Each row links to MGI, UniProt, NCBI Gene and Reactome searches plus a targeted PubMed query. Selected pathway-defining papers are keyed in the References sheet.</x:v>
      </x:c>
    </x:row>
    <x:row r="15">
      <x:c r="A15" s="101" t="str">
        <x:v>Database caveat</x:v>
      </x:c>
      <x:c r="B15" s="101" t="str">
        <x:v>A database hit alone was not used to force a pathway assignment. Curated database records were reconciled with mechanistic plausibility and literature.</x:v>
      </x:c>
    </x:row>
    <x:row r="16">
      <x:c r="A16" s="101" t="str">
        <x:v>Multiple assignment</x:v>
      </x:c>
      <x:c r="B16" s="101" t="str">
        <x:v>Genes may appear in multiple broad categories and multiple subpathways when their functions are independently supported.</x:v>
      </x:c>
    </x:row>
    <x:row r="17">
      <x:c r="A17" s="101" t="str">
        <x:v>Unannotated cases</x:v>
      </x:c>
      <x:c r="B17" s="101" t="str">
        <x:v>Absence from the Metabolism or Cell Death sheet means that no sufficiently specific, defensible role was curated—not proof that no future relationship exists.</x:v>
      </x:c>
    </x:row>
    <x:row r="18">
      <x:c r="A18" s="101" t="str">
        <x:v>Access date</x:v>
      </x:c>
      <x:c r="B18" s="101" t="str">
        <x:v>2026-08-06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25" hidden="0" customWidth="1"/>
    <x:col min="5" max="5" width="26" hidden="0" customWidth="1"/>
    <x:col min="6" max="6" width="34" hidden="0" customWidth="1"/>
    <x:col min="7" max="7" width="42" hidden="0" customWidth="1"/>
    <x:col min="8" max="8" width="42" hidden="0" customWidth="1"/>
  </x:cols>
  <x:sheetData>
    <x:row r="1" ht="26" customHeight="1">
      <x:c r="A1" s="3" t="str">
        <x:v>Submitted mouse gene list and identifier validation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Exact 215 entries from Common_List(1).xlsx. Mouse symbols are preserved; human mappings distinguish strict orthologs from complex families/analogs. Accessed 2026-08-06.</x:v>
      </x:c>
      <x:c r="B2" s="7"/>
      <x:c r="C2" s="7"/>
      <x:c r="D2" s="7"/>
      <x:c r="E2" s="7"/>
      <x:c r="F2" s="7"/>
      <x:c r="G2" s="7"/>
      <x:c r="H2" s="7"/>
    </x:row>
    <x:row r="3" ht="34" customHeight="1">
      <x:c r="A3" s="20" t="str">
        <x:v>Input #</x:v>
      </x:c>
      <x:c r="B3" s="21" t="str">
        <x:v>Mouse symbol</x:v>
      </x:c>
      <x:c r="C3" s="21" t="str">
        <x:v>Species</x:v>
      </x:c>
      <x:c r="D3" s="21" t="str">
        <x:v>Mouse-symbol status</x:v>
      </x:c>
      <x:c r="E3" s="21" t="str">
        <x:v>Human ortholog / closest analog</x:v>
      </x:c>
      <x:c r="F3" s="21" t="str">
        <x:v>Orthology status / caution</x:v>
      </x:c>
      <x:c r="G3" s="21" t="str">
        <x:v>MGI source</x:v>
      </x:c>
      <x:c r="H3" s="21" t="str">
        <x:v>NCBI Gene source</x:v>
      </x:c>
    </x:row>
    <x:row r="4">
      <x:c r="A4" s="22" t="n">
        <x:v>1</x:v>
      </x:c>
      <x:c r="B4" s="23" t="str">
        <x:v>AB124611</x:v>
      </x:c>
      <x:c r="C4" s="23" t="str">
        <x:v>Mus musculus</x:v>
      </x:c>
      <x:c r="D4" s="23" t="str">
        <x:v>Official/current mouse symbol or accepted accession-like symbol</x:v>
      </x:c>
      <x:c r="E4" s="23" t="str">
        <x:v>C19orf38</x:v>
      </x:c>
      <x:c r="F4" s="23" t="str">
        <x:v>Reported one-to-one ortholog; mouse symbol is accession-like but valid</x:v>
      </x:c>
      <x:c r="G4" s="23" t="str">
        <x:v>https://www.informatics.jax.org/quicksearch/summary?queryType=exactPhrase&amp;query=AB124611</x:v>
      </x:c>
      <x:c r="H4" s="23" t="str">
        <x:v>https://www.ncbi.nlm.nih.gov/gene/?term=AB124611%5Bgene%5D%20AND%20Mus%20musculus%5Borgn%5D</x:v>
      </x:c>
    </x:row>
    <x:row r="5">
      <x:c r="A5" s="22" t="n">
        <x:v>2</x:v>
      </x:c>
      <x:c r="B5" s="23" t="str">
        <x:v>Abcc3</x:v>
      </x:c>
      <x:c r="C5" s="23" t="str">
        <x:v>Mus musculus</x:v>
      </x:c>
      <x:c r="D5" s="23" t="str">
        <x:v>Official/current mouse symbol or accepted accession-like symbol</x:v>
      </x:c>
      <x:c r="E5" s="23" t="str">
        <x:v>ABCC3</x:v>
      </x:c>
      <x:c r="F5" s="23" t="str">
        <x:v>Conserved symbol; human ortholog</x:v>
      </x:c>
      <x:c r="G5" s="23" t="str">
        <x:v>https://www.informatics.jax.org/quicksearch/summary?queryType=exactPhrase&amp;query=Abcc3</x:v>
      </x:c>
      <x:c r="H5" s="23" t="str">
        <x:v>https://www.ncbi.nlm.nih.gov/gene/?term=Abcc3%5Bgene%5D%20AND%20Mus%20musculus%5Borgn%5D</x:v>
      </x:c>
    </x:row>
    <x:row r="6">
      <x:c r="A6" s="22" t="n">
        <x:v>3</x:v>
      </x:c>
      <x:c r="B6" s="23" t="str">
        <x:v>Abcf2</x:v>
      </x:c>
      <x:c r="C6" s="23" t="str">
        <x:v>Mus musculus</x:v>
      </x:c>
      <x:c r="D6" s="23" t="str">
        <x:v>Official/current mouse symbol or accepted accession-like symbol</x:v>
      </x:c>
      <x:c r="E6" s="23" t="str">
        <x:v>ABCF2</x:v>
      </x:c>
      <x:c r="F6" s="23" t="str">
        <x:v>Conserved symbol; human ortholog</x:v>
      </x:c>
      <x:c r="G6" s="23" t="str">
        <x:v>https://www.informatics.jax.org/quicksearch/summary?queryType=exactPhrase&amp;query=Abcf2</x:v>
      </x:c>
      <x:c r="H6" s="23" t="str">
        <x:v>https://www.ncbi.nlm.nih.gov/gene/?term=Abcf2%5Bgene%5D%20AND%20Mus%20musculus%5Borgn%5D</x:v>
      </x:c>
    </x:row>
    <x:row r="7">
      <x:c r="A7" s="22" t="n">
        <x:v>4</x:v>
      </x:c>
      <x:c r="B7" s="23" t="str">
        <x:v>Adgre1</x:v>
      </x:c>
      <x:c r="C7" s="23" t="str">
        <x:v>Mus musculus</x:v>
      </x:c>
      <x:c r="D7" s="23" t="str">
        <x:v>Official/current mouse symbol or accepted accession-like symbol</x:v>
      </x:c>
      <x:c r="E7" s="23" t="str">
        <x:v>ADGRE1</x:v>
      </x:c>
      <x:c r="F7" s="23" t="str">
        <x:v>Conserved symbol; human ortholog</x:v>
      </x:c>
      <x:c r="G7" s="23" t="str">
        <x:v>https://www.informatics.jax.org/quicksearch/summary?queryType=exactPhrase&amp;query=Adgre1</x:v>
      </x:c>
      <x:c r="H7" s="23" t="str">
        <x:v>https://www.ncbi.nlm.nih.gov/gene/?term=Adgre1%5Bgene%5D%20AND%20Mus%20musculus%5Borgn%5D</x:v>
      </x:c>
    </x:row>
    <x:row r="8">
      <x:c r="A8" s="22" t="n">
        <x:v>5</x:v>
      </x:c>
      <x:c r="B8" s="23" t="str">
        <x:v>Aif1</x:v>
      </x:c>
      <x:c r="C8" s="23" t="str">
        <x:v>Mus musculus</x:v>
      </x:c>
      <x:c r="D8" s="23" t="str">
        <x:v>Official/current mouse symbol or accepted accession-like symbol</x:v>
      </x:c>
      <x:c r="E8" s="23" t="str">
        <x:v>AIF1</x:v>
      </x:c>
      <x:c r="F8" s="23" t="str">
        <x:v>Conserved symbol; human ortholog</x:v>
      </x:c>
      <x:c r="G8" s="23" t="str">
        <x:v>https://www.informatics.jax.org/quicksearch/summary?queryType=exactPhrase&amp;query=Aif1</x:v>
      </x:c>
      <x:c r="H8" s="23" t="str">
        <x:v>https://www.ncbi.nlm.nih.gov/gene/?term=Aif1%5Bgene%5D%20AND%20Mus%20musculus%5Borgn%5D</x:v>
      </x:c>
    </x:row>
    <x:row r="9">
      <x:c r="A9" s="22" t="n">
        <x:v>6</x:v>
      </x:c>
      <x:c r="B9" s="23" t="str">
        <x:v>Apobr</x:v>
      </x:c>
      <x:c r="C9" s="23" t="str">
        <x:v>Mus musculus</x:v>
      </x:c>
      <x:c r="D9" s="23" t="str">
        <x:v>Official/current mouse symbol or accepted accession-like symbol</x:v>
      </x:c>
      <x:c r="E9" s="23" t="str">
        <x:v>APOBR</x:v>
      </x:c>
      <x:c r="F9" s="23" t="str">
        <x:v>Conserved symbol; human ortholog</x:v>
      </x:c>
      <x:c r="G9" s="23" t="str">
        <x:v>https://www.informatics.jax.org/quicksearch/summary?queryType=exactPhrase&amp;query=Apobr</x:v>
      </x:c>
      <x:c r="H9" s="23" t="str">
        <x:v>https://www.ncbi.nlm.nih.gov/gene/?term=Apobr%5Bgene%5D%20AND%20Mus%20musculus%5Borgn%5D</x:v>
      </x:c>
    </x:row>
    <x:row r="10">
      <x:c r="A10" s="22" t="n">
        <x:v>7</x:v>
      </x:c>
      <x:c r="B10" s="23" t="str">
        <x:v>Arhgap25</x:v>
      </x:c>
      <x:c r="C10" s="23" t="str">
        <x:v>Mus musculus</x:v>
      </x:c>
      <x:c r="D10" s="23" t="str">
        <x:v>Official/current mouse symbol or accepted accession-like symbol</x:v>
      </x:c>
      <x:c r="E10" s="23" t="str">
        <x:v>ARHGAP25</x:v>
      </x:c>
      <x:c r="F10" s="23" t="str">
        <x:v>Conserved symbol; human ortholog</x:v>
      </x:c>
      <x:c r="G10" s="23" t="str">
        <x:v>https://www.informatics.jax.org/quicksearch/summary?queryType=exactPhrase&amp;query=Arhgap25</x:v>
      </x:c>
      <x:c r="H10" s="23" t="str">
        <x:v>https://www.ncbi.nlm.nih.gov/gene/?term=Arhgap25%5Bgene%5D%20AND%20Mus%20musculus%5Borgn%5D</x:v>
      </x:c>
    </x:row>
    <x:row r="11">
      <x:c r="A11" s="22" t="n">
        <x:v>8</x:v>
      </x:c>
      <x:c r="B11" s="23" t="str">
        <x:v>Arhgef19</x:v>
      </x:c>
      <x:c r="C11" s="23" t="str">
        <x:v>Mus musculus</x:v>
      </x:c>
      <x:c r="D11" s="23" t="str">
        <x:v>Official/current mouse symbol or accepted accession-like symbol</x:v>
      </x:c>
      <x:c r="E11" s="23" t="str">
        <x:v>ARHGEF19</x:v>
      </x:c>
      <x:c r="F11" s="23" t="str">
        <x:v>Conserved symbol; human ortholog</x:v>
      </x:c>
      <x:c r="G11" s="23" t="str">
        <x:v>https://www.informatics.jax.org/quicksearch/summary?queryType=exactPhrase&amp;query=Arhgef19</x:v>
      </x:c>
      <x:c r="H11" s="23" t="str">
        <x:v>https://www.ncbi.nlm.nih.gov/gene/?term=Arhgef19%5Bgene%5D%20AND%20Mus%20musculus%5Borgn%5D</x:v>
      </x:c>
    </x:row>
    <x:row r="12">
      <x:c r="A12" s="22" t="n">
        <x:v>9</x:v>
      </x:c>
      <x:c r="B12" s="23" t="str">
        <x:v>Arpc1b</x:v>
      </x:c>
      <x:c r="C12" s="23" t="str">
        <x:v>Mus musculus</x:v>
      </x:c>
      <x:c r="D12" s="23" t="str">
        <x:v>Official/current mouse symbol or accepted accession-like symbol</x:v>
      </x:c>
      <x:c r="E12" s="23" t="str">
        <x:v>ARPC1B</x:v>
      </x:c>
      <x:c r="F12" s="23" t="str">
        <x:v>Conserved symbol; human ortholog</x:v>
      </x:c>
      <x:c r="G12" s="23" t="str">
        <x:v>https://www.informatics.jax.org/quicksearch/summary?queryType=exactPhrase&amp;query=Arpc1b</x:v>
      </x:c>
      <x:c r="H12" s="23" t="str">
        <x:v>https://www.ncbi.nlm.nih.gov/gene/?term=Arpc1b%5Bgene%5D%20AND%20Mus%20musculus%5Borgn%5D</x:v>
      </x:c>
    </x:row>
    <x:row r="13">
      <x:c r="A13" s="22" t="n">
        <x:v>10</x:v>
      </x:c>
      <x:c r="B13" s="23" t="str">
        <x:v>Arrdc2</x:v>
      </x:c>
      <x:c r="C13" s="23" t="str">
        <x:v>Mus musculus</x:v>
      </x:c>
      <x:c r="D13" s="23" t="str">
        <x:v>Official/current mouse symbol or accepted accession-like symbol</x:v>
      </x:c>
      <x:c r="E13" s="23" t="str">
        <x:v>ARRDC2</x:v>
      </x:c>
      <x:c r="F13" s="23" t="str">
        <x:v>Conserved symbol; human ortholog</x:v>
      </x:c>
      <x:c r="G13" s="23" t="str">
        <x:v>https://www.informatics.jax.org/quicksearch/summary?queryType=exactPhrase&amp;query=Arrdc2</x:v>
      </x:c>
      <x:c r="H13" s="23" t="str">
        <x:v>https://www.ncbi.nlm.nih.gov/gene/?term=Arrdc2%5Bgene%5D%20AND%20Mus%20musculus%5Borgn%5D</x:v>
      </x:c>
    </x:row>
    <x:row r="14">
      <x:c r="A14" s="22" t="n">
        <x:v>11</x:v>
      </x:c>
      <x:c r="B14" s="23" t="str">
        <x:v>Atf3</x:v>
      </x:c>
      <x:c r="C14" s="23" t="str">
        <x:v>Mus musculus</x:v>
      </x:c>
      <x:c r="D14" s="23" t="str">
        <x:v>Official/current mouse symbol or accepted accession-like symbol</x:v>
      </x:c>
      <x:c r="E14" s="23" t="str">
        <x:v>ATF3</x:v>
      </x:c>
      <x:c r="F14" s="23" t="str">
        <x:v>Conserved symbol; human ortholog</x:v>
      </x:c>
      <x:c r="G14" s="23" t="str">
        <x:v>https://www.informatics.jax.org/quicksearch/summary?queryType=exactPhrase&amp;query=Atf3</x:v>
      </x:c>
      <x:c r="H14" s="23" t="str">
        <x:v>https://www.ncbi.nlm.nih.gov/gene/?term=Atf3%5Bgene%5D%20AND%20Mus%20musculus%5Borgn%5D</x:v>
      </x:c>
    </x:row>
    <x:row r="15">
      <x:c r="A15" s="22" t="n">
        <x:v>12</x:v>
      </x:c>
      <x:c r="B15" s="23" t="str">
        <x:v>B2m</x:v>
      </x:c>
      <x:c r="C15" s="23" t="str">
        <x:v>Mus musculus</x:v>
      </x:c>
      <x:c r="D15" s="23" t="str">
        <x:v>Official/current mouse symbol or accepted accession-like symbol</x:v>
      </x:c>
      <x:c r="E15" s="23" t="str">
        <x:v>B2M</x:v>
      </x:c>
      <x:c r="F15" s="23" t="str">
        <x:v>Conserved symbol; human ortholog</x:v>
      </x:c>
      <x:c r="G15" s="23" t="str">
        <x:v>https://www.informatics.jax.org/quicksearch/summary?queryType=exactPhrase&amp;query=B2m</x:v>
      </x:c>
      <x:c r="H15" s="23" t="str">
        <x:v>https://www.ncbi.nlm.nih.gov/gene/?term=B2m%5Bgene%5D%20AND%20Mus%20musculus%5Borgn%5D</x:v>
      </x:c>
    </x:row>
    <x:row r="16">
      <x:c r="A16" s="22" t="n">
        <x:v>13</x:v>
      </x:c>
      <x:c r="B16" s="23" t="str">
        <x:v>Bcl2a1b</x:v>
      </x:c>
      <x:c r="C16" s="23" t="str">
        <x:v>Mus musculus</x:v>
      </x:c>
      <x:c r="D16" s="23" t="str">
        <x:v>Official/current mouse symbol or accepted accession-like symbol</x:v>
      </x:c>
      <x:c r="E16" s="23" t="str">
        <x:v>BCL2A1</x:v>
      </x:c>
      <x:c r="F16" s="23" t="str">
        <x:v>Many-to-one paralog family mapping</x:v>
      </x:c>
      <x:c r="G16" s="23" t="str">
        <x:v>https://www.informatics.jax.org/quicksearch/summary?queryType=exactPhrase&amp;query=Bcl2a1b</x:v>
      </x:c>
      <x:c r="H16" s="23" t="str">
        <x:v>https://www.ncbi.nlm.nih.gov/gene/?term=Bcl2a1b%5Bgene%5D%20AND%20Mus%20musculus%5Borgn%5D</x:v>
      </x:c>
    </x:row>
    <x:row r="17">
      <x:c r="A17" s="22" t="n">
        <x:v>14</x:v>
      </x:c>
      <x:c r="B17" s="23" t="str">
        <x:v>C1qa</x:v>
      </x:c>
      <x:c r="C17" s="23" t="str">
        <x:v>Mus musculus</x:v>
      </x:c>
      <x:c r="D17" s="23" t="str">
        <x:v>Official/current mouse symbol or accepted accession-like symbol</x:v>
      </x:c>
      <x:c r="E17" s="23" t="str">
        <x:v>C1QA</x:v>
      </x:c>
      <x:c r="F17" s="23" t="str">
        <x:v>Conserved symbol; human ortholog</x:v>
      </x:c>
      <x:c r="G17" s="23" t="str">
        <x:v>https://www.informatics.jax.org/quicksearch/summary?queryType=exactPhrase&amp;query=C1qa</x:v>
      </x:c>
      <x:c r="H17" s="23" t="str">
        <x:v>https://www.ncbi.nlm.nih.gov/gene/?term=C1qa%5Bgene%5D%20AND%20Mus%20musculus%5Borgn%5D</x:v>
      </x:c>
    </x:row>
    <x:row r="18">
      <x:c r="A18" s="22" t="n">
        <x:v>15</x:v>
      </x:c>
      <x:c r="B18" s="23" t="str">
        <x:v>C1qb</x:v>
      </x:c>
      <x:c r="C18" s="23" t="str">
        <x:v>Mus musculus</x:v>
      </x:c>
      <x:c r="D18" s="23" t="str">
        <x:v>Official/current mouse symbol or accepted accession-like symbol</x:v>
      </x:c>
      <x:c r="E18" s="23" t="str">
        <x:v>C1QB</x:v>
      </x:c>
      <x:c r="F18" s="23" t="str">
        <x:v>Conserved symbol; human ortholog</x:v>
      </x:c>
      <x:c r="G18" s="23" t="str">
        <x:v>https://www.informatics.jax.org/quicksearch/summary?queryType=exactPhrase&amp;query=C1qb</x:v>
      </x:c>
      <x:c r="H18" s="23" t="str">
        <x:v>https://www.ncbi.nlm.nih.gov/gene/?term=C1qb%5Bgene%5D%20AND%20Mus%20musculus%5Borgn%5D</x:v>
      </x:c>
    </x:row>
    <x:row r="19">
      <x:c r="A19" s="22" t="n">
        <x:v>16</x:v>
      </x:c>
      <x:c r="B19" s="23" t="str">
        <x:v>C1qc</x:v>
      </x:c>
      <x:c r="C19" s="23" t="str">
        <x:v>Mus musculus</x:v>
      </x:c>
      <x:c r="D19" s="23" t="str">
        <x:v>Official/current mouse symbol or accepted accession-like symbol</x:v>
      </x:c>
      <x:c r="E19" s="23" t="str">
        <x:v>C1QC</x:v>
      </x:c>
      <x:c r="F19" s="23" t="str">
        <x:v>Conserved symbol; human ortholog</x:v>
      </x:c>
      <x:c r="G19" s="23" t="str">
        <x:v>https://www.informatics.jax.org/quicksearch/summary?queryType=exactPhrase&amp;query=C1qc</x:v>
      </x:c>
      <x:c r="H19" s="23" t="str">
        <x:v>https://www.ncbi.nlm.nih.gov/gene/?term=C1qc%5Bgene%5D%20AND%20Mus%20musculus%5Borgn%5D</x:v>
      </x:c>
    </x:row>
    <x:row r="20">
      <x:c r="A20" s="22" t="n">
        <x:v>17</x:v>
      </x:c>
      <x:c r="B20" s="23" t="str">
        <x:v>C3</x:v>
      </x:c>
      <x:c r="C20" s="23" t="str">
        <x:v>Mus musculus</x:v>
      </x:c>
      <x:c r="D20" s="23" t="str">
        <x:v>Official/current mouse symbol or accepted accession-like symbol</x:v>
      </x:c>
      <x:c r="E20" s="23" t="str">
        <x:v>C3</x:v>
      </x:c>
      <x:c r="F20" s="23" t="str">
        <x:v>Conserved symbol; human ortholog</x:v>
      </x:c>
      <x:c r="G20" s="23" t="str">
        <x:v>https://www.informatics.jax.org/quicksearch/summary?queryType=exactPhrase&amp;query=C3</x:v>
      </x:c>
      <x:c r="H20" s="23" t="str">
        <x:v>https://www.ncbi.nlm.nih.gov/gene/?term=C3%5Bgene%5D%20AND%20Mus%20musculus%5Borgn%5D</x:v>
      </x:c>
    </x:row>
    <x:row r="21">
      <x:c r="A21" s="22" t="n">
        <x:v>18</x:v>
      </x:c>
      <x:c r="B21" s="23" t="str">
        <x:v>Cadm1</x:v>
      </x:c>
      <x:c r="C21" s="23" t="str">
        <x:v>Mus musculus</x:v>
      </x:c>
      <x:c r="D21" s="23" t="str">
        <x:v>Official/current mouse symbol or accepted accession-like symbol</x:v>
      </x:c>
      <x:c r="E21" s="23" t="str">
        <x:v>CADM1</x:v>
      </x:c>
      <x:c r="F21" s="23" t="str">
        <x:v>Conserved symbol; human ortholog</x:v>
      </x:c>
      <x:c r="G21" s="23" t="str">
        <x:v>https://www.informatics.jax.org/quicksearch/summary?queryType=exactPhrase&amp;query=Cadm1</x:v>
      </x:c>
      <x:c r="H21" s="23" t="str">
        <x:v>https://www.ncbi.nlm.nih.gov/gene/?term=Cadm1%5Bgene%5D%20AND%20Mus%20musculus%5Borgn%5D</x:v>
      </x:c>
    </x:row>
    <x:row r="22">
      <x:c r="A22" s="22" t="n">
        <x:v>19</x:v>
      </x:c>
      <x:c r="B22" s="23" t="str">
        <x:v>Calr</x:v>
      </x:c>
      <x:c r="C22" s="23" t="str">
        <x:v>Mus musculus</x:v>
      </x:c>
      <x:c r="D22" s="23" t="str">
        <x:v>Official/current mouse symbol or accepted accession-like symbol</x:v>
      </x:c>
      <x:c r="E22" s="23" t="str">
        <x:v>CALR</x:v>
      </x:c>
      <x:c r="F22" s="23" t="str">
        <x:v>Conserved symbol; human ortholog</x:v>
      </x:c>
      <x:c r="G22" s="23" t="str">
        <x:v>https://www.informatics.jax.org/quicksearch/summary?queryType=exactPhrase&amp;query=Calr</x:v>
      </x:c>
      <x:c r="H22" s="23" t="str">
        <x:v>https://www.ncbi.nlm.nih.gov/gene/?term=Calr%5Bgene%5D%20AND%20Mus%20musculus%5Borgn%5D</x:v>
      </x:c>
    </x:row>
    <x:row r="23">
      <x:c r="A23" s="22" t="n">
        <x:v>20</x:v>
      </x:c>
      <x:c r="B23" s="23" t="str">
        <x:v>Camp</x:v>
      </x:c>
      <x:c r="C23" s="23" t="str">
        <x:v>Mus musculus</x:v>
      </x:c>
      <x:c r="D23" s="23" t="str">
        <x:v>Official/current mouse symbol or accepted accession-like symbol</x:v>
      </x:c>
      <x:c r="E23" s="23" t="str">
        <x:v>CAMP</x:v>
      </x:c>
      <x:c r="F23" s="23" t="str">
        <x:v>Conserved symbol; human ortholog</x:v>
      </x:c>
      <x:c r="G23" s="23" t="str">
        <x:v>https://www.informatics.jax.org/quicksearch/summary?queryType=exactPhrase&amp;query=Camp</x:v>
      </x:c>
      <x:c r="H23" s="23" t="str">
        <x:v>https://www.ncbi.nlm.nih.gov/gene/?term=Camp%5Bgene%5D%20AND%20Mus%20musculus%5Borgn%5D</x:v>
      </x:c>
    </x:row>
    <x:row r="24">
      <x:c r="A24" s="22" t="n">
        <x:v>21</x:v>
      </x:c>
      <x:c r="B24" s="23" t="str">
        <x:v>Capn3</x:v>
      </x:c>
      <x:c r="C24" s="23" t="str">
        <x:v>Mus musculus</x:v>
      </x:c>
      <x:c r="D24" s="23" t="str">
        <x:v>Official/current mouse symbol or accepted accession-like symbol</x:v>
      </x:c>
      <x:c r="E24" s="23" t="str">
        <x:v>CAPN3</x:v>
      </x:c>
      <x:c r="F24" s="23" t="str">
        <x:v>Conserved symbol; human ortholog</x:v>
      </x:c>
      <x:c r="G24" s="23" t="str">
        <x:v>https://www.informatics.jax.org/quicksearch/summary?queryType=exactPhrase&amp;query=Capn3</x:v>
      </x:c>
      <x:c r="H24" s="23" t="str">
        <x:v>https://www.ncbi.nlm.nih.gov/gene/?term=Capn3%5Bgene%5D%20AND%20Mus%20musculus%5Borgn%5D</x:v>
      </x:c>
    </x:row>
    <x:row r="25">
      <x:c r="A25" s="22" t="n">
        <x:v>22</x:v>
      </x:c>
      <x:c r="B25" s="23" t="str">
        <x:v>Ccl12</x:v>
      </x:c>
      <x:c r="C25" s="23" t="str">
        <x:v>Mus musculus</x:v>
      </x:c>
      <x:c r="D25" s="23" t="str">
        <x:v>Official/current mouse symbol or accepted accession-like symbol</x:v>
      </x:c>
      <x:c r="E25" s="23" t="str">
        <x:v>CCL2 (among complex chemokine-family orthologs)</x:v>
      </x:c>
      <x:c r="F25" s="23" t="str">
        <x:v>Complex/many-to-many; not a strict symbol-equivalent</x:v>
      </x:c>
      <x:c r="G25" s="23" t="str">
        <x:v>https://www.informatics.jax.org/quicksearch/summary?queryType=exactPhrase&amp;query=Ccl12</x:v>
      </x:c>
      <x:c r="H25" s="23" t="str">
        <x:v>https://www.ncbi.nlm.nih.gov/gene/?term=Ccl12%5Bgene%5D%20AND%20Mus%20musculus%5Borgn%5D</x:v>
      </x:c>
    </x:row>
    <x:row r="26">
      <x:c r="A26" s="22" t="n">
        <x:v>23</x:v>
      </x:c>
      <x:c r="B26" s="23" t="str">
        <x:v>Ccl2</x:v>
      </x:c>
      <x:c r="C26" s="23" t="str">
        <x:v>Mus musculus</x:v>
      </x:c>
      <x:c r="D26" s="23" t="str">
        <x:v>Official/current mouse symbol or accepted accession-like symbol</x:v>
      </x:c>
      <x:c r="E26" s="23" t="str">
        <x:v>CCL2</x:v>
      </x:c>
      <x:c r="F26" s="23" t="str">
        <x:v>Conserved symbol; human ortholog</x:v>
      </x:c>
      <x:c r="G26" s="23" t="str">
        <x:v>https://www.informatics.jax.org/quicksearch/summary?queryType=exactPhrase&amp;query=Ccl2</x:v>
      </x:c>
      <x:c r="H26" s="23" t="str">
        <x:v>https://www.ncbi.nlm.nih.gov/gene/?term=Ccl2%5Bgene%5D%20AND%20Mus%20musculus%5Borgn%5D</x:v>
      </x:c>
    </x:row>
    <x:row r="27">
      <x:c r="A27" s="22" t="n">
        <x:v>24</x:v>
      </x:c>
      <x:c r="B27" s="23" t="str">
        <x:v>Ccr5</x:v>
      </x:c>
      <x:c r="C27" s="23" t="str">
        <x:v>Mus musculus</x:v>
      </x:c>
      <x:c r="D27" s="23" t="str">
        <x:v>Official/current mouse symbol or accepted accession-like symbol</x:v>
      </x:c>
      <x:c r="E27" s="23" t="str">
        <x:v>CCR5</x:v>
      </x:c>
      <x:c r="F27" s="23" t="str">
        <x:v>Conserved symbol; human ortholog</x:v>
      </x:c>
      <x:c r="G27" s="23" t="str">
        <x:v>https://www.informatics.jax.org/quicksearch/summary?queryType=exactPhrase&amp;query=Ccr5</x:v>
      </x:c>
      <x:c r="H27" s="23" t="str">
        <x:v>https://www.ncbi.nlm.nih.gov/gene/?term=Ccr5%5Bgene%5D%20AND%20Mus%20musculus%5Borgn%5D</x:v>
      </x:c>
    </x:row>
    <x:row r="28">
      <x:c r="A28" s="22" t="n">
        <x:v>25</x:v>
      </x:c>
      <x:c r="B28" s="23" t="str">
        <x:v>Ccrl2</x:v>
      </x:c>
      <x:c r="C28" s="23" t="str">
        <x:v>Mus musculus</x:v>
      </x:c>
      <x:c r="D28" s="23" t="str">
        <x:v>Official/current mouse symbol or accepted accession-like symbol</x:v>
      </x:c>
      <x:c r="E28" s="23" t="str">
        <x:v>CCRL2</x:v>
      </x:c>
      <x:c r="F28" s="23" t="str">
        <x:v>Conserved symbol; human ortholog</x:v>
      </x:c>
      <x:c r="G28" s="23" t="str">
        <x:v>https://www.informatics.jax.org/quicksearch/summary?queryType=exactPhrase&amp;query=Ccrl2</x:v>
      </x:c>
      <x:c r="H28" s="23" t="str">
        <x:v>https://www.ncbi.nlm.nih.gov/gene/?term=Ccrl2%5Bgene%5D%20AND%20Mus%20musculus%5Borgn%5D</x:v>
      </x:c>
    </x:row>
    <x:row r="29">
      <x:c r="A29" s="22" t="n">
        <x:v>26</x:v>
      </x:c>
      <x:c r="B29" s="23" t="str">
        <x:v>Cd14</x:v>
      </x:c>
      <x:c r="C29" s="23" t="str">
        <x:v>Mus musculus</x:v>
      </x:c>
      <x:c r="D29" s="23" t="str">
        <x:v>Official/current mouse symbol or accepted accession-like symbol</x:v>
      </x:c>
      <x:c r="E29" s="23" t="str">
        <x:v>CD14</x:v>
      </x:c>
      <x:c r="F29" s="23" t="str">
        <x:v>Conserved symbol; human ortholog</x:v>
      </x:c>
      <x:c r="G29" s="23" t="str">
        <x:v>https://www.informatics.jax.org/quicksearch/summary?queryType=exactPhrase&amp;query=Cd14</x:v>
      </x:c>
      <x:c r="H29" s="23" t="str">
        <x:v>https://www.ncbi.nlm.nih.gov/gene/?term=Cd14%5Bgene%5D%20AND%20Mus%20musculus%5Borgn%5D</x:v>
      </x:c>
    </x:row>
    <x:row r="30">
      <x:c r="A30" s="22" t="n">
        <x:v>27</x:v>
      </x:c>
      <x:c r="B30" s="23" t="str">
        <x:v>Cd177</x:v>
      </x:c>
      <x:c r="C30" s="23" t="str">
        <x:v>Mus musculus</x:v>
      </x:c>
      <x:c r="D30" s="23" t="str">
        <x:v>Official/current mouse symbol or accepted accession-like symbol</x:v>
      </x:c>
      <x:c r="E30" s="23" t="str">
        <x:v>CD177</x:v>
      </x:c>
      <x:c r="F30" s="23" t="str">
        <x:v>Conserved symbol; human ortholog</x:v>
      </x:c>
      <x:c r="G30" s="23" t="str">
        <x:v>https://www.informatics.jax.org/quicksearch/summary?queryType=exactPhrase&amp;query=Cd177</x:v>
      </x:c>
      <x:c r="H30" s="23" t="str">
        <x:v>https://www.ncbi.nlm.nih.gov/gene/?term=Cd177%5Bgene%5D%20AND%20Mus%20musculus%5Borgn%5D</x:v>
      </x:c>
    </x:row>
    <x:row r="31">
      <x:c r="A31" s="22" t="n">
        <x:v>28</x:v>
      </x:c>
      <x:c r="B31" s="23" t="str">
        <x:v>Cd180</x:v>
      </x:c>
      <x:c r="C31" s="23" t="str">
        <x:v>Mus musculus</x:v>
      </x:c>
      <x:c r="D31" s="23" t="str">
        <x:v>Official/current mouse symbol or accepted accession-like symbol</x:v>
      </x:c>
      <x:c r="E31" s="23" t="str">
        <x:v>CD180</x:v>
      </x:c>
      <x:c r="F31" s="23" t="str">
        <x:v>Conserved symbol; human ortholog</x:v>
      </x:c>
      <x:c r="G31" s="23" t="str">
        <x:v>https://www.informatics.jax.org/quicksearch/summary?queryType=exactPhrase&amp;query=Cd180</x:v>
      </x:c>
      <x:c r="H31" s="23" t="str">
        <x:v>https://www.ncbi.nlm.nih.gov/gene/?term=Cd180%5Bgene%5D%20AND%20Mus%20musculus%5Borgn%5D</x:v>
      </x:c>
    </x:row>
    <x:row r="32">
      <x:c r="A32" s="22" t="n">
        <x:v>29</x:v>
      </x:c>
      <x:c r="B32" s="23" t="str">
        <x:v>Cd33</x:v>
      </x:c>
      <x:c r="C32" s="23" t="str">
        <x:v>Mus musculus</x:v>
      </x:c>
      <x:c r="D32" s="23" t="str">
        <x:v>Official/current mouse symbol or accepted accession-like symbol</x:v>
      </x:c>
      <x:c r="E32" s="23" t="str">
        <x:v>CD33</x:v>
      </x:c>
      <x:c r="F32" s="23" t="str">
        <x:v>Conserved symbol; human ortholog</x:v>
      </x:c>
      <x:c r="G32" s="23" t="str">
        <x:v>https://www.informatics.jax.org/quicksearch/summary?queryType=exactPhrase&amp;query=Cd33</x:v>
      </x:c>
      <x:c r="H32" s="23" t="str">
        <x:v>https://www.ncbi.nlm.nih.gov/gene/?term=Cd33%5Bgene%5D%20AND%20Mus%20musculus%5Borgn%5D</x:v>
      </x:c>
    </x:row>
    <x:row r="33">
      <x:c r="A33" s="22" t="n">
        <x:v>30</x:v>
      </x:c>
      <x:c r="B33" s="23" t="str">
        <x:v>Cd52</x:v>
      </x:c>
      <x:c r="C33" s="23" t="str">
        <x:v>Mus musculus</x:v>
      </x:c>
      <x:c r="D33" s="23" t="str">
        <x:v>Official/current mouse symbol or accepted accession-like symbol</x:v>
      </x:c>
      <x:c r="E33" s="23" t="str">
        <x:v>CD52</x:v>
      </x:c>
      <x:c r="F33" s="23" t="str">
        <x:v>Conserved symbol; human ortholog</x:v>
      </x:c>
      <x:c r="G33" s="23" t="str">
        <x:v>https://www.informatics.jax.org/quicksearch/summary?queryType=exactPhrase&amp;query=Cd52</x:v>
      </x:c>
      <x:c r="H33" s="23" t="str">
        <x:v>https://www.ncbi.nlm.nih.gov/gene/?term=Cd52%5Bgene%5D%20AND%20Mus%20musculus%5Borgn%5D</x:v>
      </x:c>
    </x:row>
    <x:row r="34">
      <x:c r="A34" s="22" t="n">
        <x:v>31</x:v>
      </x:c>
      <x:c r="B34" s="23" t="str">
        <x:v>Cd68</x:v>
      </x:c>
      <x:c r="C34" s="23" t="str">
        <x:v>Mus musculus</x:v>
      </x:c>
      <x:c r="D34" s="23" t="str">
        <x:v>Official/current mouse symbol or accepted accession-like symbol</x:v>
      </x:c>
      <x:c r="E34" s="23" t="str">
        <x:v>CD68</x:v>
      </x:c>
      <x:c r="F34" s="23" t="str">
        <x:v>Conserved symbol; human ortholog</x:v>
      </x:c>
      <x:c r="G34" s="23" t="str">
        <x:v>https://www.informatics.jax.org/quicksearch/summary?queryType=exactPhrase&amp;query=Cd68</x:v>
      </x:c>
      <x:c r="H34" s="23" t="str">
        <x:v>https://www.ncbi.nlm.nih.gov/gene/?term=Cd68%5Bgene%5D%20AND%20Mus%20musculus%5Borgn%5D</x:v>
      </x:c>
    </x:row>
    <x:row r="35">
      <x:c r="A35" s="22" t="n">
        <x:v>32</x:v>
      </x:c>
      <x:c r="B35" s="23" t="str">
        <x:v>Cd72</x:v>
      </x:c>
      <x:c r="C35" s="23" t="str">
        <x:v>Mus musculus</x:v>
      </x:c>
      <x:c r="D35" s="23" t="str">
        <x:v>Official/current mouse symbol or accepted accession-like symbol</x:v>
      </x:c>
      <x:c r="E35" s="23" t="str">
        <x:v>CD72</x:v>
      </x:c>
      <x:c r="F35" s="23" t="str">
        <x:v>Conserved symbol; human ortholog</x:v>
      </x:c>
      <x:c r="G35" s="23" t="str">
        <x:v>https://www.informatics.jax.org/quicksearch/summary?queryType=exactPhrase&amp;query=Cd72</x:v>
      </x:c>
      <x:c r="H35" s="23" t="str">
        <x:v>https://www.ncbi.nlm.nih.gov/gene/?term=Cd72%5Bgene%5D%20AND%20Mus%20musculus%5Borgn%5D</x:v>
      </x:c>
    </x:row>
    <x:row r="36">
      <x:c r="A36" s="22" t="n">
        <x:v>33</x:v>
      </x:c>
      <x:c r="B36" s="23" t="str">
        <x:v>Cd74</x:v>
      </x:c>
      <x:c r="C36" s="23" t="str">
        <x:v>Mus musculus</x:v>
      </x:c>
      <x:c r="D36" s="23" t="str">
        <x:v>Official/current mouse symbol or accepted accession-like symbol</x:v>
      </x:c>
      <x:c r="E36" s="23" t="str">
        <x:v>CD74</x:v>
      </x:c>
      <x:c r="F36" s="23" t="str">
        <x:v>Conserved symbol; human ortholog</x:v>
      </x:c>
      <x:c r="G36" s="23" t="str">
        <x:v>https://www.informatics.jax.org/quicksearch/summary?queryType=exactPhrase&amp;query=Cd74</x:v>
      </x:c>
      <x:c r="H36" s="23" t="str">
        <x:v>https://www.ncbi.nlm.nih.gov/gene/?term=Cd74%5Bgene%5D%20AND%20Mus%20musculus%5Borgn%5D</x:v>
      </x:c>
    </x:row>
    <x:row r="37">
      <x:c r="A37" s="22" t="n">
        <x:v>34</x:v>
      </x:c>
      <x:c r="B37" s="23" t="str">
        <x:v>Cd84</x:v>
      </x:c>
      <x:c r="C37" s="23" t="str">
        <x:v>Mus musculus</x:v>
      </x:c>
      <x:c r="D37" s="23" t="str">
        <x:v>Official/current mouse symbol or accepted accession-like symbol</x:v>
      </x:c>
      <x:c r="E37" s="23" t="str">
        <x:v>CD84</x:v>
      </x:c>
      <x:c r="F37" s="23" t="str">
        <x:v>Conserved symbol; human ortholog</x:v>
      </x:c>
      <x:c r="G37" s="23" t="str">
        <x:v>https://www.informatics.jax.org/quicksearch/summary?queryType=exactPhrase&amp;query=Cd84</x:v>
      </x:c>
      <x:c r="H37" s="23" t="str">
        <x:v>https://www.ncbi.nlm.nih.gov/gene/?term=Cd84%5Bgene%5D%20AND%20Mus%20musculus%5Borgn%5D</x:v>
      </x:c>
    </x:row>
    <x:row r="38">
      <x:c r="A38" s="22" t="n">
        <x:v>35</x:v>
      </x:c>
      <x:c r="B38" s="23" t="str">
        <x:v>Cebpa</x:v>
      </x:c>
      <x:c r="C38" s="23" t="str">
        <x:v>Mus musculus</x:v>
      </x:c>
      <x:c r="D38" s="23" t="str">
        <x:v>Official/current mouse symbol or accepted accession-like symbol</x:v>
      </x:c>
      <x:c r="E38" s="23" t="str">
        <x:v>CEBPA</x:v>
      </x:c>
      <x:c r="F38" s="23" t="str">
        <x:v>Conserved symbol; human ortholog</x:v>
      </x:c>
      <x:c r="G38" s="23" t="str">
        <x:v>https://www.informatics.jax.org/quicksearch/summary?queryType=exactPhrase&amp;query=Cebpa</x:v>
      </x:c>
      <x:c r="H38" s="23" t="str">
        <x:v>https://www.ncbi.nlm.nih.gov/gene/?term=Cebpa%5Bgene%5D%20AND%20Mus%20musculus%5Borgn%5D</x:v>
      </x:c>
    </x:row>
    <x:row r="39">
      <x:c r="A39" s="22" t="n">
        <x:v>36</x:v>
      </x:c>
      <x:c r="B39" s="23" t="str">
        <x:v>Chil3</x:v>
      </x:c>
      <x:c r="C39" s="23" t="str">
        <x:v>Mus musculus</x:v>
      </x:c>
      <x:c r="D39" s="23" t="str">
        <x:v>Official/current mouse symbol or accepted accession-like symbol</x:v>
      </x:c>
      <x:c r="E39" s="23" t="str">
        <x:v>CHI3L1/CHIT1 (family analogs)</x:v>
      </x:c>
      <x:c r="F39" s="23" t="str">
        <x:v>No strict one-to-one ortholog</x:v>
      </x:c>
      <x:c r="G39" s="23" t="str">
        <x:v>https://www.informatics.jax.org/quicksearch/summary?queryType=exactPhrase&amp;query=Chil3</x:v>
      </x:c>
      <x:c r="H39" s="23" t="str">
        <x:v>https://www.ncbi.nlm.nih.gov/gene/?term=Chil3%5Bgene%5D%20AND%20Mus%20musculus%5Borgn%5D</x:v>
      </x:c>
    </x:row>
    <x:row r="40">
      <x:c r="A40" s="22" t="n">
        <x:v>37</x:v>
      </x:c>
      <x:c r="B40" s="23" t="str">
        <x:v>Cmklr1</x:v>
      </x:c>
      <x:c r="C40" s="23" t="str">
        <x:v>Mus musculus</x:v>
      </x:c>
      <x:c r="D40" s="23" t="str">
        <x:v>Official/current mouse symbol or accepted accession-like symbol</x:v>
      </x:c>
      <x:c r="E40" s="23" t="str">
        <x:v>CMKLR1</x:v>
      </x:c>
      <x:c r="F40" s="23" t="str">
        <x:v>Conserved symbol; human ortholog</x:v>
      </x:c>
      <x:c r="G40" s="23" t="str">
        <x:v>https://www.informatics.jax.org/quicksearch/summary?queryType=exactPhrase&amp;query=Cmklr1</x:v>
      </x:c>
      <x:c r="H40" s="23" t="str">
        <x:v>https://www.ncbi.nlm.nih.gov/gene/?term=Cmklr1%5Bgene%5D%20AND%20Mus%20musculus%5Borgn%5D</x:v>
      </x:c>
    </x:row>
    <x:row r="41">
      <x:c r="A41" s="22" t="n">
        <x:v>38</x:v>
      </x:c>
      <x:c r="B41" s="23" t="str">
        <x:v>Cndp2</x:v>
      </x:c>
      <x:c r="C41" s="23" t="str">
        <x:v>Mus musculus</x:v>
      </x:c>
      <x:c r="D41" s="23" t="str">
        <x:v>Official/current mouse symbol or accepted accession-like symbol</x:v>
      </x:c>
      <x:c r="E41" s="23" t="str">
        <x:v>CNDP2</x:v>
      </x:c>
      <x:c r="F41" s="23" t="str">
        <x:v>Conserved symbol; human ortholog</x:v>
      </x:c>
      <x:c r="G41" s="23" t="str">
        <x:v>https://www.informatics.jax.org/quicksearch/summary?queryType=exactPhrase&amp;query=Cndp2</x:v>
      </x:c>
      <x:c r="H41" s="23" t="str">
        <x:v>https://www.ncbi.nlm.nih.gov/gene/?term=Cndp2%5Bgene%5D%20AND%20Mus%20musculus%5Borgn%5D</x:v>
      </x:c>
    </x:row>
    <x:row r="42">
      <x:c r="A42" s="22" t="n">
        <x:v>39</x:v>
      </x:c>
      <x:c r="B42" s="23" t="str">
        <x:v>Csf1r</x:v>
      </x:c>
      <x:c r="C42" s="23" t="str">
        <x:v>Mus musculus</x:v>
      </x:c>
      <x:c r="D42" s="23" t="str">
        <x:v>Official/current mouse symbol or accepted accession-like symbol</x:v>
      </x:c>
      <x:c r="E42" s="23" t="str">
        <x:v>CSF1R</x:v>
      </x:c>
      <x:c r="F42" s="23" t="str">
        <x:v>Conserved symbol; human ortholog</x:v>
      </x:c>
      <x:c r="G42" s="23" t="str">
        <x:v>https://www.informatics.jax.org/quicksearch/summary?queryType=exactPhrase&amp;query=Csf1r</x:v>
      </x:c>
      <x:c r="H42" s="23" t="str">
        <x:v>https://www.ncbi.nlm.nih.gov/gene/?term=Csf1r%5Bgene%5D%20AND%20Mus%20musculus%5Borgn%5D</x:v>
      </x:c>
    </x:row>
    <x:row r="43">
      <x:c r="A43" s="22" t="n">
        <x:v>40</x:v>
      </x:c>
      <x:c r="B43" s="23" t="str">
        <x:v>Csf2rb</x:v>
      </x:c>
      <x:c r="C43" s="23" t="str">
        <x:v>Mus musculus</x:v>
      </x:c>
      <x:c r="D43" s="23" t="str">
        <x:v>Official/current mouse symbol or accepted accession-like symbol</x:v>
      </x:c>
      <x:c r="E43" s="23" t="str">
        <x:v>CSF2RB</x:v>
      </x:c>
      <x:c r="F43" s="23" t="str">
        <x:v>Conserved symbol; human ortholog</x:v>
      </x:c>
      <x:c r="G43" s="23" t="str">
        <x:v>https://www.informatics.jax.org/quicksearch/summary?queryType=exactPhrase&amp;query=Csf2rb</x:v>
      </x:c>
      <x:c r="H43" s="23" t="str">
        <x:v>https://www.ncbi.nlm.nih.gov/gene/?term=Csf2rb%5Bgene%5D%20AND%20Mus%20musculus%5Borgn%5D</x:v>
      </x:c>
    </x:row>
    <x:row r="44">
      <x:c r="A44" s="22" t="n">
        <x:v>41</x:v>
      </x:c>
      <x:c r="B44" s="23" t="str">
        <x:v>Csf2rb2</x:v>
      </x:c>
      <x:c r="C44" s="23" t="str">
        <x:v>Mus musculus</x:v>
      </x:c>
      <x:c r="D44" s="23" t="str">
        <x:v>Official/current mouse symbol or accepted accession-like symbol</x:v>
      </x:c>
      <x:c r="E44" s="23" t="str">
        <x:v>CSF2RB</x:v>
      </x:c>
      <x:c r="F44" s="23" t="str">
        <x:v>Co-ortholog/paralog mapping</x:v>
      </x:c>
      <x:c r="G44" s="23" t="str">
        <x:v>https://www.informatics.jax.org/quicksearch/summary?queryType=exactPhrase&amp;query=Csf2rb2</x:v>
      </x:c>
      <x:c r="H44" s="23" t="str">
        <x:v>https://www.ncbi.nlm.nih.gov/gene/?term=Csf2rb2%5Bgene%5D%20AND%20Mus%20musculus%5Borgn%5D</x:v>
      </x:c>
    </x:row>
    <x:row r="45">
      <x:c r="A45" s="22" t="n">
        <x:v>42</x:v>
      </x:c>
      <x:c r="B45" s="23" t="str">
        <x:v>Ctsc</x:v>
      </x:c>
      <x:c r="C45" s="23" t="str">
        <x:v>Mus musculus</x:v>
      </x:c>
      <x:c r="D45" s="23" t="str">
        <x:v>Official/current mouse symbol or accepted accession-like symbol</x:v>
      </x:c>
      <x:c r="E45" s="23" t="str">
        <x:v>CTSC</x:v>
      </x:c>
      <x:c r="F45" s="23" t="str">
        <x:v>Conserved symbol; human ortholog</x:v>
      </x:c>
      <x:c r="G45" s="23" t="str">
        <x:v>https://www.informatics.jax.org/quicksearch/summary?queryType=exactPhrase&amp;query=Ctsc</x:v>
      </x:c>
      <x:c r="H45" s="23" t="str">
        <x:v>https://www.ncbi.nlm.nih.gov/gene/?term=Ctsc%5Bgene%5D%20AND%20Mus%20musculus%5Borgn%5D</x:v>
      </x:c>
    </x:row>
    <x:row r="46">
      <x:c r="A46" s="22" t="n">
        <x:v>43</x:v>
      </x:c>
      <x:c r="B46" s="23" t="str">
        <x:v>Ctsd</x:v>
      </x:c>
      <x:c r="C46" s="23" t="str">
        <x:v>Mus musculus</x:v>
      </x:c>
      <x:c r="D46" s="23" t="str">
        <x:v>Official/current mouse symbol or accepted accession-like symbol</x:v>
      </x:c>
      <x:c r="E46" s="23" t="str">
        <x:v>CTSD</x:v>
      </x:c>
      <x:c r="F46" s="23" t="str">
        <x:v>Conserved symbol; human ortholog</x:v>
      </x:c>
      <x:c r="G46" s="23" t="str">
        <x:v>https://www.informatics.jax.org/quicksearch/summary?queryType=exactPhrase&amp;query=Ctsd</x:v>
      </x:c>
      <x:c r="H46" s="23" t="str">
        <x:v>https://www.ncbi.nlm.nih.gov/gene/?term=Ctsd%5Bgene%5D%20AND%20Mus%20musculus%5Borgn%5D</x:v>
      </x:c>
    </x:row>
    <x:row r="47">
      <x:c r="A47" s="22" t="n">
        <x:v>44</x:v>
      </x:c>
      <x:c r="B47" s="23" t="str">
        <x:v>Ctsh</x:v>
      </x:c>
      <x:c r="C47" s="23" t="str">
        <x:v>Mus musculus</x:v>
      </x:c>
      <x:c r="D47" s="23" t="str">
        <x:v>Official/current mouse symbol or accepted accession-like symbol</x:v>
      </x:c>
      <x:c r="E47" s="23" t="str">
        <x:v>CTSH</x:v>
      </x:c>
      <x:c r="F47" s="23" t="str">
        <x:v>Conserved symbol; human ortholog</x:v>
      </x:c>
      <x:c r="G47" s="23" t="str">
        <x:v>https://www.informatics.jax.org/quicksearch/summary?queryType=exactPhrase&amp;query=Ctsh</x:v>
      </x:c>
      <x:c r="H47" s="23" t="str">
        <x:v>https://www.ncbi.nlm.nih.gov/gene/?term=Ctsh%5Bgene%5D%20AND%20Mus%20musculus%5Borgn%5D</x:v>
      </x:c>
    </x:row>
    <x:row r="48">
      <x:c r="A48" s="22" t="n">
        <x:v>45</x:v>
      </x:c>
      <x:c r="B48" s="23" t="str">
        <x:v>Ctsz</x:v>
      </x:c>
      <x:c r="C48" s="23" t="str">
        <x:v>Mus musculus</x:v>
      </x:c>
      <x:c r="D48" s="23" t="str">
        <x:v>Official/current mouse symbol or accepted accession-like symbol</x:v>
      </x:c>
      <x:c r="E48" s="23" t="str">
        <x:v>CTSZ</x:v>
      </x:c>
      <x:c r="F48" s="23" t="str">
        <x:v>Conserved symbol; human ortholog</x:v>
      </x:c>
      <x:c r="G48" s="23" t="str">
        <x:v>https://www.informatics.jax.org/quicksearch/summary?queryType=exactPhrase&amp;query=Ctsz</x:v>
      </x:c>
      <x:c r="H48" s="23" t="str">
        <x:v>https://www.ncbi.nlm.nih.gov/gene/?term=Ctsz%5Bgene%5D%20AND%20Mus%20musculus%5Borgn%5D</x:v>
      </x:c>
    </x:row>
    <x:row r="49">
      <x:c r="A49" s="22" t="n">
        <x:v>46</x:v>
      </x:c>
      <x:c r="B49" s="23" t="str">
        <x:v>Cxcl10</x:v>
      </x:c>
      <x:c r="C49" s="23" t="str">
        <x:v>Mus musculus</x:v>
      </x:c>
      <x:c r="D49" s="23" t="str">
        <x:v>Official/current mouse symbol or accepted accession-like symbol</x:v>
      </x:c>
      <x:c r="E49" s="23" t="str">
        <x:v>CXCL10</x:v>
      </x:c>
      <x:c r="F49" s="23" t="str">
        <x:v>Conserved symbol; human ortholog</x:v>
      </x:c>
      <x:c r="G49" s="23" t="str">
        <x:v>https://www.informatics.jax.org/quicksearch/summary?queryType=exactPhrase&amp;query=Cxcl10</x:v>
      </x:c>
      <x:c r="H49" s="23" t="str">
        <x:v>https://www.ncbi.nlm.nih.gov/gene/?term=Cxcl10%5Bgene%5D%20AND%20Mus%20musculus%5Borgn%5D</x:v>
      </x:c>
    </x:row>
    <x:row r="50">
      <x:c r="A50" s="22" t="n">
        <x:v>47</x:v>
      </x:c>
      <x:c r="B50" s="23" t="str">
        <x:v>Cxcl12</x:v>
      </x:c>
      <x:c r="C50" s="23" t="str">
        <x:v>Mus musculus</x:v>
      </x:c>
      <x:c r="D50" s="23" t="str">
        <x:v>Official/current mouse symbol or accepted accession-like symbol</x:v>
      </x:c>
      <x:c r="E50" s="23" t="str">
        <x:v>CXCL12</x:v>
      </x:c>
      <x:c r="F50" s="23" t="str">
        <x:v>Conserved symbol; human ortholog</x:v>
      </x:c>
      <x:c r="G50" s="23" t="str">
        <x:v>https://www.informatics.jax.org/quicksearch/summary?queryType=exactPhrase&amp;query=Cxcl12</x:v>
      </x:c>
      <x:c r="H50" s="23" t="str">
        <x:v>https://www.ncbi.nlm.nih.gov/gene/?term=Cxcl12%5Bgene%5D%20AND%20Mus%20musculus%5Borgn%5D</x:v>
      </x:c>
    </x:row>
    <x:row r="51">
      <x:c r="A51" s="22" t="n">
        <x:v>48</x:v>
      </x:c>
      <x:c r="B51" s="23" t="str">
        <x:v>Cybb</x:v>
      </x:c>
      <x:c r="C51" s="23" t="str">
        <x:v>Mus musculus</x:v>
      </x:c>
      <x:c r="D51" s="23" t="str">
        <x:v>Official/current mouse symbol or accepted accession-like symbol</x:v>
      </x:c>
      <x:c r="E51" s="23" t="str">
        <x:v>CYBB</x:v>
      </x:c>
      <x:c r="F51" s="23" t="str">
        <x:v>Conserved symbol; human ortholog</x:v>
      </x:c>
      <x:c r="G51" s="23" t="str">
        <x:v>https://www.informatics.jax.org/quicksearch/summary?queryType=exactPhrase&amp;query=Cybb</x:v>
      </x:c>
      <x:c r="H51" s="23" t="str">
        <x:v>https://www.ncbi.nlm.nih.gov/gene/?term=Cybb%5Bgene%5D%20AND%20Mus%20musculus%5Borgn%5D</x:v>
      </x:c>
    </x:row>
    <x:row r="52">
      <x:c r="A52" s="22" t="n">
        <x:v>49</x:v>
      </x:c>
      <x:c r="B52" s="23" t="str">
        <x:v>Cyth4</x:v>
      </x:c>
      <x:c r="C52" s="23" t="str">
        <x:v>Mus musculus</x:v>
      </x:c>
      <x:c r="D52" s="23" t="str">
        <x:v>Official/current mouse symbol or accepted accession-like symbol</x:v>
      </x:c>
      <x:c r="E52" s="23" t="str">
        <x:v>CYTH4</x:v>
      </x:c>
      <x:c r="F52" s="23" t="str">
        <x:v>Conserved symbol; human ortholog</x:v>
      </x:c>
      <x:c r="G52" s="23" t="str">
        <x:v>https://www.informatics.jax.org/quicksearch/summary?queryType=exactPhrase&amp;query=Cyth4</x:v>
      </x:c>
      <x:c r="H52" s="23" t="str">
        <x:v>https://www.ncbi.nlm.nih.gov/gene/?term=Cyth4%5Bgene%5D%20AND%20Mus%20musculus%5Borgn%5D</x:v>
      </x:c>
    </x:row>
    <x:row r="53">
      <x:c r="A53" s="22" t="n">
        <x:v>50</x:v>
      </x:c>
      <x:c r="B53" s="23" t="str">
        <x:v>Ddost</x:v>
      </x:c>
      <x:c r="C53" s="23" t="str">
        <x:v>Mus musculus</x:v>
      </x:c>
      <x:c r="D53" s="23" t="str">
        <x:v>Official/current mouse symbol or accepted accession-like symbol</x:v>
      </x:c>
      <x:c r="E53" s="23" t="str">
        <x:v>DDOST</x:v>
      </x:c>
      <x:c r="F53" s="23" t="str">
        <x:v>Conserved symbol; human ortholog</x:v>
      </x:c>
      <x:c r="G53" s="23" t="str">
        <x:v>https://www.informatics.jax.org/quicksearch/summary?queryType=exactPhrase&amp;query=Ddost</x:v>
      </x:c>
      <x:c r="H53" s="23" t="str">
        <x:v>https://www.ncbi.nlm.nih.gov/gene/?term=Ddost%5Bgene%5D%20AND%20Mus%20musculus%5Borgn%5D</x:v>
      </x:c>
    </x:row>
    <x:row r="54">
      <x:c r="A54" s="22" t="n">
        <x:v>51</x:v>
      </x:c>
      <x:c r="B54" s="23" t="str">
        <x:v>Dock8</x:v>
      </x:c>
      <x:c r="C54" s="23" t="str">
        <x:v>Mus musculus</x:v>
      </x:c>
      <x:c r="D54" s="23" t="str">
        <x:v>Official/current mouse symbol or accepted accession-like symbol</x:v>
      </x:c>
      <x:c r="E54" s="23" t="str">
        <x:v>DOCK8</x:v>
      </x:c>
      <x:c r="F54" s="23" t="str">
        <x:v>Conserved symbol; human ortholog</x:v>
      </x:c>
      <x:c r="G54" s="23" t="str">
        <x:v>https://www.informatics.jax.org/quicksearch/summary?queryType=exactPhrase&amp;query=Dock8</x:v>
      </x:c>
      <x:c r="H54" s="23" t="str">
        <x:v>https://www.ncbi.nlm.nih.gov/gene/?term=Dock8%5Bgene%5D%20AND%20Mus%20musculus%5Borgn%5D</x:v>
      </x:c>
    </x:row>
    <x:row r="55">
      <x:c r="A55" s="22" t="n">
        <x:v>52</x:v>
      </x:c>
      <x:c r="B55" s="23" t="str">
        <x:v>Dusp2</x:v>
      </x:c>
      <x:c r="C55" s="23" t="str">
        <x:v>Mus musculus</x:v>
      </x:c>
      <x:c r="D55" s="23" t="str">
        <x:v>Official/current mouse symbol or accepted accession-like symbol</x:v>
      </x:c>
      <x:c r="E55" s="23" t="str">
        <x:v>DUSP2</x:v>
      </x:c>
      <x:c r="F55" s="23" t="str">
        <x:v>Conserved symbol; human ortholog</x:v>
      </x:c>
      <x:c r="G55" s="23" t="str">
        <x:v>https://www.informatics.jax.org/quicksearch/summary?queryType=exactPhrase&amp;query=Dusp2</x:v>
      </x:c>
      <x:c r="H55" s="23" t="str">
        <x:v>https://www.ncbi.nlm.nih.gov/gene/?term=Dusp2%5Bgene%5D%20AND%20Mus%20musculus%5Borgn%5D</x:v>
      </x:c>
    </x:row>
    <x:row r="56">
      <x:c r="A56" s="22" t="n">
        <x:v>53</x:v>
      </x:c>
      <x:c r="B56" s="23" t="str">
        <x:v>E2f8</x:v>
      </x:c>
      <x:c r="C56" s="23" t="str">
        <x:v>Mus musculus</x:v>
      </x:c>
      <x:c r="D56" s="23" t="str">
        <x:v>Official/current mouse symbol or accepted accession-like symbol</x:v>
      </x:c>
      <x:c r="E56" s="23" t="str">
        <x:v>E2F8</x:v>
      </x:c>
      <x:c r="F56" s="23" t="str">
        <x:v>Conserved symbol; human ortholog</x:v>
      </x:c>
      <x:c r="G56" s="23" t="str">
        <x:v>https://www.informatics.jax.org/quicksearch/summary?queryType=exactPhrase&amp;query=E2f8</x:v>
      </x:c>
      <x:c r="H56" s="23" t="str">
        <x:v>https://www.ncbi.nlm.nih.gov/gene/?term=E2f8%5Bgene%5D%20AND%20Mus%20musculus%5Borgn%5D</x:v>
      </x:c>
    </x:row>
    <x:row r="57">
      <x:c r="A57" s="22" t="n">
        <x:v>54</x:v>
      </x:c>
      <x:c r="B57" s="23" t="str">
        <x:v>Elf4</x:v>
      </x:c>
      <x:c r="C57" s="23" t="str">
        <x:v>Mus musculus</x:v>
      </x:c>
      <x:c r="D57" s="23" t="str">
        <x:v>Official/current mouse symbol or accepted accession-like symbol</x:v>
      </x:c>
      <x:c r="E57" s="23" t="str">
        <x:v>ELF4</x:v>
      </x:c>
      <x:c r="F57" s="23" t="str">
        <x:v>Conserved symbol; human ortholog</x:v>
      </x:c>
      <x:c r="G57" s="23" t="str">
        <x:v>https://www.informatics.jax.org/quicksearch/summary?queryType=exactPhrase&amp;query=Elf4</x:v>
      </x:c>
      <x:c r="H57" s="23" t="str">
        <x:v>https://www.ncbi.nlm.nih.gov/gene/?term=Elf4%5Bgene%5D%20AND%20Mus%20musculus%5Borgn%5D</x:v>
      </x:c>
    </x:row>
    <x:row r="58">
      <x:c r="A58" s="22" t="n">
        <x:v>55</x:v>
      </x:c>
      <x:c r="B58" s="23" t="str">
        <x:v>Epha2</x:v>
      </x:c>
      <x:c r="C58" s="23" t="str">
        <x:v>Mus musculus</x:v>
      </x:c>
      <x:c r="D58" s="23" t="str">
        <x:v>Official/current mouse symbol or accepted accession-like symbol</x:v>
      </x:c>
      <x:c r="E58" s="23" t="str">
        <x:v>EPHA2</x:v>
      </x:c>
      <x:c r="F58" s="23" t="str">
        <x:v>Conserved symbol; human ortholog</x:v>
      </x:c>
      <x:c r="G58" s="23" t="str">
        <x:v>https://www.informatics.jax.org/quicksearch/summary?queryType=exactPhrase&amp;query=Epha2</x:v>
      </x:c>
      <x:c r="H58" s="23" t="str">
        <x:v>https://www.ncbi.nlm.nih.gov/gene/?term=Epha2%5Bgene%5D%20AND%20Mus%20musculus%5Borgn%5D</x:v>
      </x:c>
    </x:row>
    <x:row r="59">
      <x:c r="A59" s="22" t="n">
        <x:v>56</x:v>
      </x:c>
      <x:c r="B59" s="23" t="str">
        <x:v>Erp29</x:v>
      </x:c>
      <x:c r="C59" s="23" t="str">
        <x:v>Mus musculus</x:v>
      </x:c>
      <x:c r="D59" s="23" t="str">
        <x:v>Official/current mouse symbol or accepted accession-like symbol</x:v>
      </x:c>
      <x:c r="E59" s="23" t="str">
        <x:v>ERP29</x:v>
      </x:c>
      <x:c r="F59" s="23" t="str">
        <x:v>Conserved symbol; human ortholog</x:v>
      </x:c>
      <x:c r="G59" s="23" t="str">
        <x:v>https://www.informatics.jax.org/quicksearch/summary?queryType=exactPhrase&amp;query=Erp29</x:v>
      </x:c>
      <x:c r="H59" s="23" t="str">
        <x:v>https://www.ncbi.nlm.nih.gov/gene/?term=Erp29%5Bgene%5D%20AND%20Mus%20musculus%5Borgn%5D</x:v>
      </x:c>
    </x:row>
    <x:row r="60">
      <x:c r="A60" s="22" t="n">
        <x:v>57</x:v>
      </x:c>
      <x:c r="B60" s="23" t="str">
        <x:v>Fcer1g</x:v>
      </x:c>
      <x:c r="C60" s="23" t="str">
        <x:v>Mus musculus</x:v>
      </x:c>
      <x:c r="D60" s="23" t="str">
        <x:v>Official/current mouse symbol or accepted accession-like symbol</x:v>
      </x:c>
      <x:c r="E60" s="23" t="str">
        <x:v>FCER1G</x:v>
      </x:c>
      <x:c r="F60" s="23" t="str">
        <x:v>Conserved symbol; human ortholog</x:v>
      </x:c>
      <x:c r="G60" s="23" t="str">
        <x:v>https://www.informatics.jax.org/quicksearch/summary?queryType=exactPhrase&amp;query=Fcer1g</x:v>
      </x:c>
      <x:c r="H60" s="23" t="str">
        <x:v>https://www.ncbi.nlm.nih.gov/gene/?term=Fcer1g%5Bgene%5D%20AND%20Mus%20musculus%5Borgn%5D</x:v>
      </x:c>
    </x:row>
    <x:row r="61">
      <x:c r="A61" s="22" t="n">
        <x:v>58</x:v>
      </x:c>
      <x:c r="B61" s="23" t="str">
        <x:v>Fcgr1</x:v>
      </x:c>
      <x:c r="C61" s="23" t="str">
        <x:v>Mus musculus</x:v>
      </x:c>
      <x:c r="D61" s="23" t="str">
        <x:v>Official/current mouse symbol or accepted accession-like symbol</x:v>
      </x:c>
      <x:c r="E61" s="23" t="str">
        <x:v>FCGR1A</x:v>
      </x:c>
      <x:c r="F61" s="23" t="str">
        <x:v>Conserved Fc-receptor family ortholog</x:v>
      </x:c>
      <x:c r="G61" s="23" t="str">
        <x:v>https://www.informatics.jax.org/quicksearch/summary?queryType=exactPhrase&amp;query=Fcgr1</x:v>
      </x:c>
      <x:c r="H61" s="23" t="str">
        <x:v>https://www.ncbi.nlm.nih.gov/gene/?term=Fcgr1%5Bgene%5D%20AND%20Mus%20musculus%5Borgn%5D</x:v>
      </x:c>
    </x:row>
    <x:row r="62">
      <x:c r="A62" s="22" t="n">
        <x:v>59</x:v>
      </x:c>
      <x:c r="B62" s="23" t="str">
        <x:v>Fcgr2b</x:v>
      </x:c>
      <x:c r="C62" s="23" t="str">
        <x:v>Mus musculus</x:v>
      </x:c>
      <x:c r="D62" s="23" t="str">
        <x:v>Official/current mouse symbol or accepted accession-like symbol</x:v>
      </x:c>
      <x:c r="E62" s="23" t="str">
        <x:v>FCGR2B</x:v>
      </x:c>
      <x:c r="F62" s="23" t="str">
        <x:v>Conserved symbol; human ortholog</x:v>
      </x:c>
      <x:c r="G62" s="23" t="str">
        <x:v>https://www.informatics.jax.org/quicksearch/summary?queryType=exactPhrase&amp;query=Fcgr2b</x:v>
      </x:c>
      <x:c r="H62" s="23" t="str">
        <x:v>https://www.ncbi.nlm.nih.gov/gene/?term=Fcgr2b%5Bgene%5D%20AND%20Mus%20musculus%5Borgn%5D</x:v>
      </x:c>
    </x:row>
    <x:row r="63">
      <x:c r="A63" s="22" t="n">
        <x:v>60</x:v>
      </x:c>
      <x:c r="B63" s="23" t="str">
        <x:v>Fcgr3</x:v>
      </x:c>
      <x:c r="C63" s="23" t="str">
        <x:v>Mus musculus</x:v>
      </x:c>
      <x:c r="D63" s="23" t="str">
        <x:v>Official/current mouse symbol or accepted accession-like symbol</x:v>
      </x:c>
      <x:c r="E63" s="23" t="str">
        <x:v>FCGR3A/FCGR3B</x:v>
      </x:c>
      <x:c r="F63" s="23" t="str">
        <x:v>Complex Fc-receptor family mapping</x:v>
      </x:c>
      <x:c r="G63" s="23" t="str">
        <x:v>https://www.informatics.jax.org/quicksearch/summary?queryType=exactPhrase&amp;query=Fcgr3</x:v>
      </x:c>
      <x:c r="H63" s="23" t="str">
        <x:v>https://www.ncbi.nlm.nih.gov/gene/?term=Fcgr3%5Bgene%5D%20AND%20Mus%20musculus%5Borgn%5D</x:v>
      </x:c>
    </x:row>
    <x:row r="64">
      <x:c r="A64" s="22" t="n">
        <x:v>61</x:v>
      </x:c>
      <x:c r="B64" s="23" t="str">
        <x:v>Fcgr4</x:v>
      </x:c>
      <x:c r="C64" s="23" t="str">
        <x:v>Mus musculus</x:v>
      </x:c>
      <x:c r="D64" s="23" t="str">
        <x:v>Official/current mouse symbol or accepted accession-like symbol</x:v>
      </x:c>
      <x:c r="E64" s="23" t="str">
        <x:v>FCGR3A (closest functional counterpart)</x:v>
      </x:c>
      <x:c r="F64" s="23" t="str">
        <x:v>No strict one-to-one ortholog</x:v>
      </x:c>
      <x:c r="G64" s="23" t="str">
        <x:v>https://www.informatics.jax.org/quicksearch/summary?queryType=exactPhrase&amp;query=Fcgr4</x:v>
      </x:c>
      <x:c r="H64" s="23" t="str">
        <x:v>https://www.ncbi.nlm.nih.gov/gene/?term=Fcgr4%5Bgene%5D%20AND%20Mus%20musculus%5Borgn%5D</x:v>
      </x:c>
    </x:row>
    <x:row r="65">
      <x:c r="A65" s="22" t="n">
        <x:v>62</x:v>
      </x:c>
      <x:c r="B65" s="23" t="str">
        <x:v>Fgd2</x:v>
      </x:c>
      <x:c r="C65" s="23" t="str">
        <x:v>Mus musculus</x:v>
      </x:c>
      <x:c r="D65" s="23" t="str">
        <x:v>Official/current mouse symbol or accepted accession-like symbol</x:v>
      </x:c>
      <x:c r="E65" s="23" t="str">
        <x:v>FGD2</x:v>
      </x:c>
      <x:c r="F65" s="23" t="str">
        <x:v>Conserved symbol; human ortholog</x:v>
      </x:c>
      <x:c r="G65" s="23" t="str">
        <x:v>https://www.informatics.jax.org/quicksearch/summary?queryType=exactPhrase&amp;query=Fgd2</x:v>
      </x:c>
      <x:c r="H65" s="23" t="str">
        <x:v>https://www.ncbi.nlm.nih.gov/gene/?term=Fgd2%5Bgene%5D%20AND%20Mus%20musculus%5Borgn%5D</x:v>
      </x:c>
    </x:row>
    <x:row r="66">
      <x:c r="A66" s="22" t="n">
        <x:v>63</x:v>
      </x:c>
      <x:c r="B66" s="23" t="str">
        <x:v>Fgfr4</x:v>
      </x:c>
      <x:c r="C66" s="23" t="str">
        <x:v>Mus musculus</x:v>
      </x:c>
      <x:c r="D66" s="23" t="str">
        <x:v>Official/current mouse symbol or accepted accession-like symbol</x:v>
      </x:c>
      <x:c r="E66" s="23" t="str">
        <x:v>FGFR4</x:v>
      </x:c>
      <x:c r="F66" s="23" t="str">
        <x:v>Conserved symbol; human ortholog</x:v>
      </x:c>
      <x:c r="G66" s="23" t="str">
        <x:v>https://www.informatics.jax.org/quicksearch/summary?queryType=exactPhrase&amp;query=Fgfr4</x:v>
      </x:c>
      <x:c r="H66" s="23" t="str">
        <x:v>https://www.ncbi.nlm.nih.gov/gene/?term=Fgfr4%5Bgene%5D%20AND%20Mus%20musculus%5Borgn%5D</x:v>
      </x:c>
    </x:row>
    <x:row r="67">
      <x:c r="A67" s="22" t="n">
        <x:v>64</x:v>
      </x:c>
      <x:c r="B67" s="23" t="str">
        <x:v>Fgl2</x:v>
      </x:c>
      <x:c r="C67" s="23" t="str">
        <x:v>Mus musculus</x:v>
      </x:c>
      <x:c r="D67" s="23" t="str">
        <x:v>Official/current mouse symbol or accepted accession-like symbol</x:v>
      </x:c>
      <x:c r="E67" s="23" t="str">
        <x:v>FGL2</x:v>
      </x:c>
      <x:c r="F67" s="23" t="str">
        <x:v>Conserved symbol; human ortholog</x:v>
      </x:c>
      <x:c r="G67" s="23" t="str">
        <x:v>https://www.informatics.jax.org/quicksearch/summary?queryType=exactPhrase&amp;query=Fgl2</x:v>
      </x:c>
      <x:c r="H67" s="23" t="str">
        <x:v>https://www.ncbi.nlm.nih.gov/gene/?term=Fgl2%5Bgene%5D%20AND%20Mus%20musculus%5Borgn%5D</x:v>
      </x:c>
    </x:row>
    <x:row r="68">
      <x:c r="A68" s="22" t="n">
        <x:v>65</x:v>
      </x:c>
      <x:c r="B68" s="23" t="str">
        <x:v>Fgr</x:v>
      </x:c>
      <x:c r="C68" s="23" t="str">
        <x:v>Mus musculus</x:v>
      </x:c>
      <x:c r="D68" s="23" t="str">
        <x:v>Official/current mouse symbol or accepted accession-like symbol</x:v>
      </x:c>
      <x:c r="E68" s="23" t="str">
        <x:v>FGR</x:v>
      </x:c>
      <x:c r="F68" s="23" t="str">
        <x:v>Conserved symbol; human ortholog</x:v>
      </x:c>
      <x:c r="G68" s="23" t="str">
        <x:v>https://www.informatics.jax.org/quicksearch/summary?queryType=exactPhrase&amp;query=Fgr</x:v>
      </x:c>
      <x:c r="H68" s="23" t="str">
        <x:v>https://www.ncbi.nlm.nih.gov/gene/?term=Fgr%5Bgene%5D%20AND%20Mus%20musculus%5Borgn%5D</x:v>
      </x:c>
    </x:row>
    <x:row r="69">
      <x:c r="A69" s="22" t="n">
        <x:v>66</x:v>
      </x:c>
      <x:c r="B69" s="23" t="str">
        <x:v>Gbp2</x:v>
      </x:c>
      <x:c r="C69" s="23" t="str">
        <x:v>Mus musculus</x:v>
      </x:c>
      <x:c r="D69" s="23" t="str">
        <x:v>Official/current mouse symbol or accepted accession-like symbol</x:v>
      </x:c>
      <x:c r="E69" s="23" t="str">
        <x:v>GBP2</x:v>
      </x:c>
      <x:c r="F69" s="23" t="str">
        <x:v>Conserved symbol; human ortholog</x:v>
      </x:c>
      <x:c r="G69" s="23" t="str">
        <x:v>https://www.informatics.jax.org/quicksearch/summary?queryType=exactPhrase&amp;query=Gbp2</x:v>
      </x:c>
      <x:c r="H69" s="23" t="str">
        <x:v>https://www.ncbi.nlm.nih.gov/gene/?term=Gbp2%5Bgene%5D%20AND%20Mus%20musculus%5Borgn%5D</x:v>
      </x:c>
    </x:row>
    <x:row r="70">
      <x:c r="A70" s="22" t="n">
        <x:v>67</x:v>
      </x:c>
      <x:c r="B70" s="23" t="str">
        <x:v>Gna15</x:v>
      </x:c>
      <x:c r="C70" s="23" t="str">
        <x:v>Mus musculus</x:v>
      </x:c>
      <x:c r="D70" s="23" t="str">
        <x:v>Official/current mouse symbol or accepted accession-like symbol</x:v>
      </x:c>
      <x:c r="E70" s="23" t="str">
        <x:v>GNA15</x:v>
      </x:c>
      <x:c r="F70" s="23" t="str">
        <x:v>Conserved symbol; human ortholog</x:v>
      </x:c>
      <x:c r="G70" s="23" t="str">
        <x:v>https://www.informatics.jax.org/quicksearch/summary?queryType=exactPhrase&amp;query=Gna15</x:v>
      </x:c>
      <x:c r="H70" s="23" t="str">
        <x:v>https://www.ncbi.nlm.nih.gov/gene/?term=Gna15%5Bgene%5D%20AND%20Mus%20musculus%5Borgn%5D</x:v>
      </x:c>
    </x:row>
    <x:row r="71">
      <x:c r="A71" s="22" t="n">
        <x:v>68</x:v>
      </x:c>
      <x:c r="B71" s="23" t="str">
        <x:v>Grn</x:v>
      </x:c>
      <x:c r="C71" s="23" t="str">
        <x:v>Mus musculus</x:v>
      </x:c>
      <x:c r="D71" s="23" t="str">
        <x:v>Official/current mouse symbol or accepted accession-like symbol</x:v>
      </x:c>
      <x:c r="E71" s="23" t="str">
        <x:v>GRN</x:v>
      </x:c>
      <x:c r="F71" s="23" t="str">
        <x:v>Conserved symbol; human ortholog</x:v>
      </x:c>
      <x:c r="G71" s="23" t="str">
        <x:v>https://www.informatics.jax.org/quicksearch/summary?queryType=exactPhrase&amp;query=Grn</x:v>
      </x:c>
      <x:c r="H71" s="23" t="str">
        <x:v>https://www.ncbi.nlm.nih.gov/gene/?term=Grn%5Bgene%5D%20AND%20Mus%20musculus%5Borgn%5D</x:v>
      </x:c>
    </x:row>
    <x:row r="72">
      <x:c r="A72" s="22" t="n">
        <x:v>69</x:v>
      </x:c>
      <x:c r="B72" s="23" t="str">
        <x:v>Gvin3</x:v>
      </x:c>
      <x:c r="C72" s="23" t="str">
        <x:v>Mus musculus</x:v>
      </x:c>
      <x:c r="D72" s="23" t="str">
        <x:v>Official/current mouse symbol or accepted accession-like symbol</x:v>
      </x:c>
      <x:c r="E72" s="23" t="str"/>
      <x:c r="F72" s="23" t="str">
        <x:v>No confident human ortholog identified</x:v>
      </x:c>
      <x:c r="G72" s="23" t="str">
        <x:v>https://www.informatics.jax.org/quicksearch/summary?queryType=exactPhrase&amp;query=Gvin3</x:v>
      </x:c>
      <x:c r="H72" s="23" t="str">
        <x:v>https://www.ncbi.nlm.nih.gov/gene/?term=Gvin3%5Bgene%5D%20AND%20Mus%20musculus%5Borgn%5D</x:v>
      </x:c>
    </x:row>
    <x:row r="73">
      <x:c r="A73" s="22" t="n">
        <x:v>70</x:v>
      </x:c>
      <x:c r="B73" s="23" t="str">
        <x:v>H2-Aa</x:v>
      </x:c>
      <x:c r="C73" s="23" t="str">
        <x:v>Mus musculus</x:v>
      </x:c>
      <x:c r="D73" s="23" t="str">
        <x:v>Official/current mouse symbol or accepted accession-like symbol</x:v>
      </x:c>
      <x:c r="E73" s="23" t="str">
        <x:v>HLA-DQA1</x:v>
      </x:c>
      <x:c r="F73" s="23" t="str">
        <x:v>MHC class-II family ortholog</x:v>
      </x:c>
      <x:c r="G73" s="23" t="str">
        <x:v>https://www.informatics.jax.org/quicksearch/summary?queryType=exactPhrase&amp;query=H2-Aa</x:v>
      </x:c>
      <x:c r="H73" s="23" t="str">
        <x:v>https://www.ncbi.nlm.nih.gov/gene/?term=H2-Aa%5Bgene%5D%20AND%20Mus%20musculus%5Borgn%5D</x:v>
      </x:c>
    </x:row>
    <x:row r="74">
      <x:c r="A74" s="22" t="n">
        <x:v>71</x:v>
      </x:c>
      <x:c r="B74" s="23" t="str">
        <x:v>H2-Ab1</x:v>
      </x:c>
      <x:c r="C74" s="23" t="str">
        <x:v>Mus musculus</x:v>
      </x:c>
      <x:c r="D74" s="23" t="str">
        <x:v>Official/current mouse symbol or accepted accession-like symbol</x:v>
      </x:c>
      <x:c r="E74" s="23" t="str">
        <x:v>HLA-DQB1</x:v>
      </x:c>
      <x:c r="F74" s="23" t="str">
        <x:v>MHC class-II family ortholog</x:v>
      </x:c>
      <x:c r="G74" s="23" t="str">
        <x:v>https://www.informatics.jax.org/quicksearch/summary?queryType=exactPhrase&amp;query=H2-Ab1</x:v>
      </x:c>
      <x:c r="H74" s="23" t="str">
        <x:v>https://www.ncbi.nlm.nih.gov/gene/?term=H2-Ab1%5Bgene%5D%20AND%20Mus%20musculus%5Borgn%5D</x:v>
      </x:c>
    </x:row>
    <x:row r="75">
      <x:c r="A75" s="22" t="n">
        <x:v>72</x:v>
      </x:c>
      <x:c r="B75" s="23" t="str">
        <x:v>H2-D1</x:v>
      </x:c>
      <x:c r="C75" s="23" t="str">
        <x:v>Mus musculus</x:v>
      </x:c>
      <x:c r="D75" s="23" t="str">
        <x:v>Official/current mouse symbol or accepted accession-like symbol</x:v>
      </x:c>
      <x:c r="E75" s="23" t="str">
        <x:v>HLA-A/HLA-B/HLA-C</x:v>
      </x:c>
      <x:c r="F75" s="23" t="str">
        <x:v>MHC class-I orthology complex</x:v>
      </x:c>
      <x:c r="G75" s="23" t="str">
        <x:v>https://www.informatics.jax.org/quicksearch/summary?queryType=exactPhrase&amp;query=H2-D1</x:v>
      </x:c>
      <x:c r="H75" s="23" t="str">
        <x:v>https://www.ncbi.nlm.nih.gov/gene/?term=H2-D1%5Bgene%5D%20AND%20Mus%20musculus%5Borgn%5D</x:v>
      </x:c>
    </x:row>
    <x:row r="76">
      <x:c r="A76" s="22" t="n">
        <x:v>73</x:v>
      </x:c>
      <x:c r="B76" s="23" t="str">
        <x:v>H2-Eb1</x:v>
      </x:c>
      <x:c r="C76" s="23" t="str">
        <x:v>Mus musculus</x:v>
      </x:c>
      <x:c r="D76" s="23" t="str">
        <x:v>Official/current mouse symbol or accepted accession-like symbol</x:v>
      </x:c>
      <x:c r="E76" s="23" t="str">
        <x:v>HLA-DRB1 family</x:v>
      </x:c>
      <x:c r="F76" s="23" t="str">
        <x:v>MHC class-II orthology complex</x:v>
      </x:c>
      <x:c r="G76" s="23" t="str">
        <x:v>https://www.informatics.jax.org/quicksearch/summary?queryType=exactPhrase&amp;query=H2-Eb1</x:v>
      </x:c>
      <x:c r="H76" s="23" t="str">
        <x:v>https://www.ncbi.nlm.nih.gov/gene/?term=H2-Eb1%5Bgene%5D%20AND%20Mus%20musculus%5Borgn%5D</x:v>
      </x:c>
    </x:row>
    <x:row r="77">
      <x:c r="A77" s="22" t="n">
        <x:v>74</x:v>
      </x:c>
      <x:c r="B77" s="23" t="str">
        <x:v>H2-K1</x:v>
      </x:c>
      <x:c r="C77" s="23" t="str">
        <x:v>Mus musculus</x:v>
      </x:c>
      <x:c r="D77" s="23" t="str">
        <x:v>Official/current mouse symbol or accepted accession-like symbol</x:v>
      </x:c>
      <x:c r="E77" s="23" t="str">
        <x:v>HLA-A/HLA-B/HLA-C</x:v>
      </x:c>
      <x:c r="F77" s="23" t="str">
        <x:v>MHC class-I orthology complex</x:v>
      </x:c>
      <x:c r="G77" s="23" t="str">
        <x:v>https://www.informatics.jax.org/quicksearch/summary?queryType=exactPhrase&amp;query=H2-K1</x:v>
      </x:c>
      <x:c r="H77" s="23" t="str">
        <x:v>https://www.ncbi.nlm.nih.gov/gene/?term=H2-K1%5Bgene%5D%20AND%20Mus%20musculus%5Borgn%5D</x:v>
      </x:c>
    </x:row>
    <x:row r="78">
      <x:c r="A78" s="22" t="n">
        <x:v>75</x:v>
      </x:c>
      <x:c r="B78" s="23" t="str">
        <x:v>H2-M3</x:v>
      </x:c>
      <x:c r="C78" s="23" t="str">
        <x:v>Mus musculus</x:v>
      </x:c>
      <x:c r="D78" s="23" t="str">
        <x:v>Official/current mouse symbol or accepted accession-like symbol</x:v>
      </x:c>
      <x:c r="E78" s="23" t="str">
        <x:v>HLA-E/HLA-G (functional analogs)</x:v>
      </x:c>
      <x:c r="F78" s="23" t="str">
        <x:v>Nonclassical MHC; no strict one-to-one mapping</x:v>
      </x:c>
      <x:c r="G78" s="23" t="str">
        <x:v>https://www.informatics.jax.org/quicksearch/summary?queryType=exactPhrase&amp;query=H2-M3</x:v>
      </x:c>
      <x:c r="H78" s="23" t="str">
        <x:v>https://www.ncbi.nlm.nih.gov/gene/?term=H2-M3%5Bgene%5D%20AND%20Mus%20musculus%5Borgn%5D</x:v>
      </x:c>
    </x:row>
    <x:row r="79">
      <x:c r="A79" s="22" t="n">
        <x:v>76</x:v>
      </x:c>
      <x:c r="B79" s="23" t="str">
        <x:v>H2-T22</x:v>
      </x:c>
      <x:c r="C79" s="23" t="str">
        <x:v>Mus musculus</x:v>
      </x:c>
      <x:c r="D79" s="23" t="str">
        <x:v>Official/current mouse symbol or accepted accession-like symbol</x:v>
      </x:c>
      <x:c r="E79" s="23" t="str"/>
      <x:c r="F79" s="23" t="str">
        <x:v>Mouse nonclassical MHC; no strict human ortholog</x:v>
      </x:c>
      <x:c r="G79" s="23" t="str">
        <x:v>https://www.informatics.jax.org/quicksearch/summary?queryType=exactPhrase&amp;query=H2-T22</x:v>
      </x:c>
      <x:c r="H79" s="23" t="str">
        <x:v>https://www.ncbi.nlm.nih.gov/gene/?term=H2-T22%5Bgene%5D%20AND%20Mus%20musculus%5Borgn%5D</x:v>
      </x:c>
    </x:row>
    <x:row r="80">
      <x:c r="A80" s="22" t="n">
        <x:v>77</x:v>
      </x:c>
      <x:c r="B80" s="23" t="str">
        <x:v>H2-T23</x:v>
      </x:c>
      <x:c r="C80" s="23" t="str">
        <x:v>Mus musculus</x:v>
      </x:c>
      <x:c r="D80" s="23" t="str">
        <x:v>Official/current mouse symbol or accepted accession-like symbol</x:v>
      </x:c>
      <x:c r="E80" s="23" t="str"/>
      <x:c r="F80" s="23" t="str">
        <x:v>Mouse nonclassical MHC; no strict human ortholog</x:v>
      </x:c>
      <x:c r="G80" s="23" t="str">
        <x:v>https://www.informatics.jax.org/quicksearch/summary?queryType=exactPhrase&amp;query=H2-T23</x:v>
      </x:c>
      <x:c r="H80" s="23" t="str">
        <x:v>https://www.ncbi.nlm.nih.gov/gene/?term=H2-T23%5Bgene%5D%20AND%20Mus%20musculus%5Borgn%5D</x:v>
      </x:c>
    </x:row>
    <x:row r="81">
      <x:c r="A81" s="22" t="n">
        <x:v>78</x:v>
      </x:c>
      <x:c r="B81" s="23" t="str">
        <x:v>Hcar2</x:v>
      </x:c>
      <x:c r="C81" s="23" t="str">
        <x:v>Mus musculus</x:v>
      </x:c>
      <x:c r="D81" s="23" t="str">
        <x:v>Official/current mouse symbol or accepted accession-like symbol</x:v>
      </x:c>
      <x:c r="E81" s="23" t="str">
        <x:v>HCAR2</x:v>
      </x:c>
      <x:c r="F81" s="23" t="str">
        <x:v>Conserved symbol; human ortholog</x:v>
      </x:c>
      <x:c r="G81" s="23" t="str">
        <x:v>https://www.informatics.jax.org/quicksearch/summary?queryType=exactPhrase&amp;query=Hcar2</x:v>
      </x:c>
      <x:c r="H81" s="23" t="str">
        <x:v>https://www.ncbi.nlm.nih.gov/gene/?term=Hcar2%5Bgene%5D%20AND%20Mus%20musculus%5Borgn%5D</x:v>
      </x:c>
    </x:row>
    <x:row r="82">
      <x:c r="A82" s="22" t="n">
        <x:v>79</x:v>
      </x:c>
      <x:c r="B82" s="23" t="str">
        <x:v>Hck</x:v>
      </x:c>
      <x:c r="C82" s="23" t="str">
        <x:v>Mus musculus</x:v>
      </x:c>
      <x:c r="D82" s="23" t="str">
        <x:v>Official/current mouse symbol or accepted accession-like symbol</x:v>
      </x:c>
      <x:c r="E82" s="23" t="str">
        <x:v>HCK</x:v>
      </x:c>
      <x:c r="F82" s="23" t="str">
        <x:v>Conserved symbol; human ortholog</x:v>
      </x:c>
      <x:c r="G82" s="23" t="str">
        <x:v>https://www.informatics.jax.org/quicksearch/summary?queryType=exactPhrase&amp;query=Hck</x:v>
      </x:c>
      <x:c r="H82" s="23" t="str">
        <x:v>https://www.ncbi.nlm.nih.gov/gene/?term=Hck%5Bgene%5D%20AND%20Mus%20musculus%5Borgn%5D</x:v>
      </x:c>
    </x:row>
    <x:row r="83">
      <x:c r="A83" s="22" t="n">
        <x:v>80</x:v>
      </x:c>
      <x:c r="B83" s="23" t="str">
        <x:v>Hk3</x:v>
      </x:c>
      <x:c r="C83" s="23" t="str">
        <x:v>Mus musculus</x:v>
      </x:c>
      <x:c r="D83" s="23" t="str">
        <x:v>Official/current mouse symbol or accepted accession-like symbol</x:v>
      </x:c>
      <x:c r="E83" s="23" t="str">
        <x:v>HK3</x:v>
      </x:c>
      <x:c r="F83" s="23" t="str">
        <x:v>Conserved symbol; human ortholog</x:v>
      </x:c>
      <x:c r="G83" s="23" t="str">
        <x:v>https://www.informatics.jax.org/quicksearch/summary?queryType=exactPhrase&amp;query=Hk3</x:v>
      </x:c>
      <x:c r="H83" s="23" t="str">
        <x:v>https://www.ncbi.nlm.nih.gov/gene/?term=Hk3%5Bgene%5D%20AND%20Mus%20musculus%5Borgn%5D</x:v>
      </x:c>
    </x:row>
    <x:row r="84">
      <x:c r="A84" s="22" t="n">
        <x:v>81</x:v>
      </x:c>
      <x:c r="B84" s="23" t="str">
        <x:v>Hp</x:v>
      </x:c>
      <x:c r="C84" s="23" t="str">
        <x:v>Mus musculus</x:v>
      </x:c>
      <x:c r="D84" s="23" t="str">
        <x:v>Official/current mouse symbol or accepted accession-like symbol</x:v>
      </x:c>
      <x:c r="E84" s="23" t="str">
        <x:v>HP</x:v>
      </x:c>
      <x:c r="F84" s="23" t="str">
        <x:v>Conserved symbol; human ortholog</x:v>
      </x:c>
      <x:c r="G84" s="23" t="str">
        <x:v>https://www.informatics.jax.org/quicksearch/summary?queryType=exactPhrase&amp;query=Hp</x:v>
      </x:c>
      <x:c r="H84" s="23" t="str">
        <x:v>https://www.ncbi.nlm.nih.gov/gene/?term=Hp%5Bgene%5D%20AND%20Mus%20musculus%5Borgn%5D</x:v>
      </x:c>
    </x:row>
    <x:row r="85">
      <x:c r="A85" s="22" t="n">
        <x:v>82</x:v>
      </x:c>
      <x:c r="B85" s="23" t="str">
        <x:v>Hspbp1</x:v>
      </x:c>
      <x:c r="C85" s="23" t="str">
        <x:v>Mus musculus</x:v>
      </x:c>
      <x:c r="D85" s="23" t="str">
        <x:v>Official/current mouse symbol or accepted accession-like symbol</x:v>
      </x:c>
      <x:c r="E85" s="23" t="str">
        <x:v>HSPBP1</x:v>
      </x:c>
      <x:c r="F85" s="23" t="str">
        <x:v>Conserved symbol; human ortholog</x:v>
      </x:c>
      <x:c r="G85" s="23" t="str">
        <x:v>https://www.informatics.jax.org/quicksearch/summary?queryType=exactPhrase&amp;query=Hspbp1</x:v>
      </x:c>
      <x:c r="H85" s="23" t="str">
        <x:v>https://www.ncbi.nlm.nih.gov/gene/?term=Hspbp1%5Bgene%5D%20AND%20Mus%20musculus%5Borgn%5D</x:v>
      </x:c>
    </x:row>
    <x:row r="86">
      <x:c r="A86" s="22" t="n">
        <x:v>83</x:v>
      </x:c>
      <x:c r="B86" s="23" t="str">
        <x:v>Ifi204</x:v>
      </x:c>
      <x:c r="C86" s="23" t="str">
        <x:v>Mus musculus</x:v>
      </x:c>
      <x:c r="D86" s="23" t="str">
        <x:v>Official/current mouse symbol or accepted accession-like symbol</x:v>
      </x:c>
      <x:c r="E86" s="23" t="str">
        <x:v>IFI16/PYHIN1 (family analogs)</x:v>
      </x:c>
      <x:c r="F86" s="23" t="str">
        <x:v>Expanded PYHIN family; no strict one-to-one mapping</x:v>
      </x:c>
      <x:c r="G86" s="23" t="str">
        <x:v>https://www.informatics.jax.org/quicksearch/summary?queryType=exactPhrase&amp;query=Ifi204</x:v>
      </x:c>
      <x:c r="H86" s="23" t="str">
        <x:v>https://www.ncbi.nlm.nih.gov/gene/?term=Ifi204%5Bgene%5D%20AND%20Mus%20musculus%5Borgn%5D</x:v>
      </x:c>
    </x:row>
    <x:row r="87">
      <x:c r="A87" s="22" t="n">
        <x:v>84</x:v>
      </x:c>
      <x:c r="B87" s="23" t="str">
        <x:v>Ifi207</x:v>
      </x:c>
      <x:c r="C87" s="23" t="str">
        <x:v>Mus musculus</x:v>
      </x:c>
      <x:c r="D87" s="23" t="str">
        <x:v>Official/current mouse symbol or accepted accession-like symbol</x:v>
      </x:c>
      <x:c r="E87" s="23" t="str"/>
      <x:c r="F87" s="23" t="str">
        <x:v>No confident human ortholog identified</x:v>
      </x:c>
      <x:c r="G87" s="23" t="str">
        <x:v>https://www.informatics.jax.org/quicksearch/summary?queryType=exactPhrase&amp;query=Ifi207</x:v>
      </x:c>
      <x:c r="H87" s="23" t="str">
        <x:v>https://www.ncbi.nlm.nih.gov/gene/?term=Ifi207%5Bgene%5D%20AND%20Mus%20musculus%5Borgn%5D</x:v>
      </x:c>
    </x:row>
    <x:row r="88">
      <x:c r="A88" s="22" t="n">
        <x:v>85</x:v>
      </x:c>
      <x:c r="B88" s="23" t="str">
        <x:v>Ifi27l2a</x:v>
      </x:c>
      <x:c r="C88" s="23" t="str">
        <x:v>Mus musculus</x:v>
      </x:c>
      <x:c r="D88" s="23" t="str">
        <x:v>Official/current mouse symbol or accepted accession-like symbol</x:v>
      </x:c>
      <x:c r="E88" s="23" t="str">
        <x:v>IFI27L2</x:v>
      </x:c>
      <x:c r="F88" s="23" t="str">
        <x:v>Conserved ortholog with symbol change</x:v>
      </x:c>
      <x:c r="G88" s="23" t="str">
        <x:v>https://www.informatics.jax.org/quicksearch/summary?queryType=exactPhrase&amp;query=Ifi27l2a</x:v>
      </x:c>
      <x:c r="H88" s="23" t="str">
        <x:v>https://www.ncbi.nlm.nih.gov/gene/?term=Ifi27l2a%5Bgene%5D%20AND%20Mus%20musculus%5Borgn%5D</x:v>
      </x:c>
    </x:row>
    <x:row r="89">
      <x:c r="A89" s="22" t="n">
        <x:v>86</x:v>
      </x:c>
      <x:c r="B89" s="23" t="str">
        <x:v>Ifi30</x:v>
      </x:c>
      <x:c r="C89" s="23" t="str">
        <x:v>Mus musculus</x:v>
      </x:c>
      <x:c r="D89" s="23" t="str">
        <x:v>Official/current mouse symbol or accepted accession-like symbol</x:v>
      </x:c>
      <x:c r="E89" s="23" t="str">
        <x:v>IFI30</x:v>
      </x:c>
      <x:c r="F89" s="23" t="str">
        <x:v>Conserved symbol; human ortholog</x:v>
      </x:c>
      <x:c r="G89" s="23" t="str">
        <x:v>https://www.informatics.jax.org/quicksearch/summary?queryType=exactPhrase&amp;query=Ifi30</x:v>
      </x:c>
      <x:c r="H89" s="23" t="str">
        <x:v>https://www.ncbi.nlm.nih.gov/gene/?term=Ifi30%5Bgene%5D%20AND%20Mus%20musculus%5Borgn%5D</x:v>
      </x:c>
    </x:row>
    <x:row r="90">
      <x:c r="A90" s="22" t="n">
        <x:v>87</x:v>
      </x:c>
      <x:c r="B90" s="23" t="str">
        <x:v>Ifitm1</x:v>
      </x:c>
      <x:c r="C90" s="23" t="str">
        <x:v>Mus musculus</x:v>
      </x:c>
      <x:c r="D90" s="23" t="str">
        <x:v>Official/current mouse symbol or accepted accession-like symbol</x:v>
      </x:c>
      <x:c r="E90" s="23" t="str">
        <x:v>IFITM1</x:v>
      </x:c>
      <x:c r="F90" s="23" t="str">
        <x:v>Conserved symbol; human ortholog</x:v>
      </x:c>
      <x:c r="G90" s="23" t="str">
        <x:v>https://www.informatics.jax.org/quicksearch/summary?queryType=exactPhrase&amp;query=Ifitm1</x:v>
      </x:c>
      <x:c r="H90" s="23" t="str">
        <x:v>https://www.ncbi.nlm.nih.gov/gene/?term=Ifitm1%5Bgene%5D%20AND%20Mus%20musculus%5Borgn%5D</x:v>
      </x:c>
    </x:row>
    <x:row r="91">
      <x:c r="A91" s="22" t="n">
        <x:v>88</x:v>
      </x:c>
      <x:c r="B91" s="23" t="str">
        <x:v>Ifitm3</x:v>
      </x:c>
      <x:c r="C91" s="23" t="str">
        <x:v>Mus musculus</x:v>
      </x:c>
      <x:c r="D91" s="23" t="str">
        <x:v>Official/current mouse symbol or accepted accession-like symbol</x:v>
      </x:c>
      <x:c r="E91" s="23" t="str">
        <x:v>IFITM3</x:v>
      </x:c>
      <x:c r="F91" s="23" t="str">
        <x:v>Conserved symbol; human ortholog</x:v>
      </x:c>
      <x:c r="G91" s="23" t="str">
        <x:v>https://www.informatics.jax.org/quicksearch/summary?queryType=exactPhrase&amp;query=Ifitm3</x:v>
      </x:c>
      <x:c r="H91" s="23" t="str">
        <x:v>https://www.ncbi.nlm.nih.gov/gene/?term=Ifitm3%5Bgene%5D%20AND%20Mus%20musculus%5Borgn%5D</x:v>
      </x:c>
    </x:row>
    <x:row r="92">
      <x:c r="A92" s="22" t="n">
        <x:v>89</x:v>
      </x:c>
      <x:c r="B92" s="23" t="str">
        <x:v>Igtp</x:v>
      </x:c>
      <x:c r="C92" s="23" t="str">
        <x:v>Mus musculus</x:v>
      </x:c>
      <x:c r="D92" s="23" t="str">
        <x:v>Official/current mouse symbol or accepted accession-like symbol</x:v>
      </x:c>
      <x:c r="E92" s="23" t="str">
        <x:v>IRGM (distant functional analog)</x:v>
      </x:c>
      <x:c r="F92" s="23" t="str">
        <x:v>Expanded mouse IRG family; not a strict one-to-one mapping</x:v>
      </x:c>
      <x:c r="G92" s="23" t="str">
        <x:v>https://www.informatics.jax.org/quicksearch/summary?queryType=exactPhrase&amp;query=Igtp</x:v>
      </x:c>
      <x:c r="H92" s="23" t="str">
        <x:v>https://www.ncbi.nlm.nih.gov/gene/?term=Igtp%5Bgene%5D%20AND%20Mus%20musculus%5Borgn%5D</x:v>
      </x:c>
    </x:row>
    <x:row r="93">
      <x:c r="A93" s="22" t="n">
        <x:v>90</x:v>
      </x:c>
      <x:c r="B93" s="23" t="str">
        <x:v>Il10ra</x:v>
      </x:c>
      <x:c r="C93" s="23" t="str">
        <x:v>Mus musculus</x:v>
      </x:c>
      <x:c r="D93" s="23" t="str">
        <x:v>Official/current mouse symbol or accepted accession-like symbol</x:v>
      </x:c>
      <x:c r="E93" s="23" t="str">
        <x:v>IL10RA</x:v>
      </x:c>
      <x:c r="F93" s="23" t="str">
        <x:v>Conserved symbol; human ortholog</x:v>
      </x:c>
      <x:c r="G93" s="23" t="str">
        <x:v>https://www.informatics.jax.org/quicksearch/summary?queryType=exactPhrase&amp;query=Il10ra</x:v>
      </x:c>
      <x:c r="H93" s="23" t="str">
        <x:v>https://www.ncbi.nlm.nih.gov/gene/?term=Il10ra%5Bgene%5D%20AND%20Mus%20musculus%5Borgn%5D</x:v>
      </x:c>
    </x:row>
    <x:row r="94">
      <x:c r="A94" s="22" t="n">
        <x:v>91</x:v>
      </x:c>
      <x:c r="B94" s="23" t="str">
        <x:v>Il10rb</x:v>
      </x:c>
      <x:c r="C94" s="23" t="str">
        <x:v>Mus musculus</x:v>
      </x:c>
      <x:c r="D94" s="23" t="str">
        <x:v>Official/current mouse symbol or accepted accession-like symbol</x:v>
      </x:c>
      <x:c r="E94" s="23" t="str">
        <x:v>IL10RB</x:v>
      </x:c>
      <x:c r="F94" s="23" t="str">
        <x:v>Conserved symbol; human ortholog</x:v>
      </x:c>
      <x:c r="G94" s="23" t="str">
        <x:v>https://www.informatics.jax.org/quicksearch/summary?queryType=exactPhrase&amp;query=Il10rb</x:v>
      </x:c>
      <x:c r="H94" s="23" t="str">
        <x:v>https://www.ncbi.nlm.nih.gov/gene/?term=Il10rb%5Bgene%5D%20AND%20Mus%20musculus%5Borgn%5D</x:v>
      </x:c>
    </x:row>
    <x:row r="95">
      <x:c r="A95" s="22" t="n">
        <x:v>92</x:v>
      </x:c>
      <x:c r="B95" s="23" t="str">
        <x:v>Il18rap</x:v>
      </x:c>
      <x:c r="C95" s="23" t="str">
        <x:v>Mus musculus</x:v>
      </x:c>
      <x:c r="D95" s="23" t="str">
        <x:v>Official/current mouse symbol or accepted accession-like symbol</x:v>
      </x:c>
      <x:c r="E95" s="23" t="str">
        <x:v>IL18RAP</x:v>
      </x:c>
      <x:c r="F95" s="23" t="str">
        <x:v>Conserved symbol; human ortholog</x:v>
      </x:c>
      <x:c r="G95" s="23" t="str">
        <x:v>https://www.informatics.jax.org/quicksearch/summary?queryType=exactPhrase&amp;query=Il18rap</x:v>
      </x:c>
      <x:c r="H95" s="23" t="str">
        <x:v>https://www.ncbi.nlm.nih.gov/gene/?term=Il18rap%5Bgene%5D%20AND%20Mus%20musculus%5Borgn%5D</x:v>
      </x:c>
    </x:row>
    <x:row r="96">
      <x:c r="A96" s="22" t="n">
        <x:v>93</x:v>
      </x:c>
      <x:c r="B96" s="23" t="str">
        <x:v>Il1b</x:v>
      </x:c>
      <x:c r="C96" s="23" t="str">
        <x:v>Mus musculus</x:v>
      </x:c>
      <x:c r="D96" s="23" t="str">
        <x:v>Official/current mouse symbol or accepted accession-like symbol</x:v>
      </x:c>
      <x:c r="E96" s="23" t="str">
        <x:v>IL1B</x:v>
      </x:c>
      <x:c r="F96" s="23" t="str">
        <x:v>Conserved symbol; human ortholog</x:v>
      </x:c>
      <x:c r="G96" s="23" t="str">
        <x:v>https://www.informatics.jax.org/quicksearch/summary?queryType=exactPhrase&amp;query=Il1b</x:v>
      </x:c>
      <x:c r="H96" s="23" t="str">
        <x:v>https://www.ncbi.nlm.nih.gov/gene/?term=Il1b%5Bgene%5D%20AND%20Mus%20musculus%5Borgn%5D</x:v>
      </x:c>
    </x:row>
    <x:row r="97">
      <x:c r="A97" s="22" t="n">
        <x:v>94</x:v>
      </x:c>
      <x:c r="B97" s="23" t="str">
        <x:v>Itgb2</x:v>
      </x:c>
      <x:c r="C97" s="23" t="str">
        <x:v>Mus musculus</x:v>
      </x:c>
      <x:c r="D97" s="23" t="str">
        <x:v>Official/current mouse symbol or accepted accession-like symbol</x:v>
      </x:c>
      <x:c r="E97" s="23" t="str">
        <x:v>ITGB2</x:v>
      </x:c>
      <x:c r="F97" s="23" t="str">
        <x:v>Conserved symbol; human ortholog</x:v>
      </x:c>
      <x:c r="G97" s="23" t="str">
        <x:v>https://www.informatics.jax.org/quicksearch/summary?queryType=exactPhrase&amp;query=Itgb2</x:v>
      </x:c>
      <x:c r="H97" s="23" t="str">
        <x:v>https://www.ncbi.nlm.nih.gov/gene/?term=Itgb2%5Bgene%5D%20AND%20Mus%20musculus%5Borgn%5D</x:v>
      </x:c>
    </x:row>
    <x:row r="98">
      <x:c r="A98" s="22" t="n">
        <x:v>95</x:v>
      </x:c>
      <x:c r="B98" s="23" t="str">
        <x:v>Itm2c</x:v>
      </x:c>
      <x:c r="C98" s="23" t="str">
        <x:v>Mus musculus</x:v>
      </x:c>
      <x:c r="D98" s="23" t="str">
        <x:v>Official/current mouse symbol or accepted accession-like symbol</x:v>
      </x:c>
      <x:c r="E98" s="23" t="str">
        <x:v>ITM2C</x:v>
      </x:c>
      <x:c r="F98" s="23" t="str">
        <x:v>Conserved symbol; human ortholog</x:v>
      </x:c>
      <x:c r="G98" s="23" t="str">
        <x:v>https://www.informatics.jax.org/quicksearch/summary?queryType=exactPhrase&amp;query=Itm2c</x:v>
      </x:c>
      <x:c r="H98" s="23" t="str">
        <x:v>https://www.ncbi.nlm.nih.gov/gene/?term=Itm2c%5Bgene%5D%20AND%20Mus%20musculus%5Borgn%5D</x:v>
      </x:c>
    </x:row>
    <x:row r="99">
      <x:c r="A99" s="22" t="n">
        <x:v>96</x:v>
      </x:c>
      <x:c r="B99" s="23" t="str">
        <x:v>Junb</x:v>
      </x:c>
      <x:c r="C99" s="23" t="str">
        <x:v>Mus musculus</x:v>
      </x:c>
      <x:c r="D99" s="23" t="str">
        <x:v>Official/current mouse symbol or accepted accession-like symbol</x:v>
      </x:c>
      <x:c r="E99" s="23" t="str">
        <x:v>JUNB</x:v>
      </x:c>
      <x:c r="F99" s="23" t="str">
        <x:v>Conserved symbol; human ortholog</x:v>
      </x:c>
      <x:c r="G99" s="23" t="str">
        <x:v>https://www.informatics.jax.org/quicksearch/summary?queryType=exactPhrase&amp;query=Junb</x:v>
      </x:c>
      <x:c r="H99" s="23" t="str">
        <x:v>https://www.ncbi.nlm.nih.gov/gene/?term=Junb%5Bgene%5D%20AND%20Mus%20musculus%5Borgn%5D</x:v>
      </x:c>
    </x:row>
    <x:row r="100">
      <x:c r="A100" s="22" t="n">
        <x:v>97</x:v>
      </x:c>
      <x:c r="B100" s="23" t="str">
        <x:v>Kcnk6</x:v>
      </x:c>
      <x:c r="C100" s="23" t="str">
        <x:v>Mus musculus</x:v>
      </x:c>
      <x:c r="D100" s="23" t="str">
        <x:v>Official/current mouse symbol or accepted accession-like symbol</x:v>
      </x:c>
      <x:c r="E100" s="23" t="str">
        <x:v>KCNK6</x:v>
      </x:c>
      <x:c r="F100" s="23" t="str">
        <x:v>Conserved symbol; human ortholog</x:v>
      </x:c>
      <x:c r="G100" s="23" t="str">
        <x:v>https://www.informatics.jax.org/quicksearch/summary?queryType=exactPhrase&amp;query=Kcnk6</x:v>
      </x:c>
      <x:c r="H100" s="23" t="str">
        <x:v>https://www.ncbi.nlm.nih.gov/gene/?term=Kcnk6%5Bgene%5D%20AND%20Mus%20musculus%5Borgn%5D</x:v>
      </x:c>
    </x:row>
    <x:row r="101">
      <x:c r="A101" s="22" t="n">
        <x:v>98</x:v>
      </x:c>
      <x:c r="B101" s="23" t="str">
        <x:v>Kctd13</x:v>
      </x:c>
      <x:c r="C101" s="23" t="str">
        <x:v>Mus musculus</x:v>
      </x:c>
      <x:c r="D101" s="23" t="str">
        <x:v>Official/current mouse symbol or accepted accession-like symbol</x:v>
      </x:c>
      <x:c r="E101" s="23" t="str">
        <x:v>KCTD13</x:v>
      </x:c>
      <x:c r="F101" s="23" t="str">
        <x:v>Conserved symbol; human ortholog</x:v>
      </x:c>
      <x:c r="G101" s="23" t="str">
        <x:v>https://www.informatics.jax.org/quicksearch/summary?queryType=exactPhrase&amp;query=Kctd13</x:v>
      </x:c>
      <x:c r="H101" s="23" t="str">
        <x:v>https://www.ncbi.nlm.nih.gov/gene/?term=Kctd13%5Bgene%5D%20AND%20Mus%20musculus%5Borgn%5D</x:v>
      </x:c>
    </x:row>
    <x:row r="102">
      <x:c r="A102" s="22" t="n">
        <x:v>99</x:v>
      </x:c>
      <x:c r="B102" s="23" t="str">
        <x:v>Klhl6</x:v>
      </x:c>
      <x:c r="C102" s="23" t="str">
        <x:v>Mus musculus</x:v>
      </x:c>
      <x:c r="D102" s="23" t="str">
        <x:v>Official/current mouse symbol or accepted accession-like symbol</x:v>
      </x:c>
      <x:c r="E102" s="23" t="str">
        <x:v>KLHL6</x:v>
      </x:c>
      <x:c r="F102" s="23" t="str">
        <x:v>Conserved symbol; human ortholog</x:v>
      </x:c>
      <x:c r="G102" s="23" t="str">
        <x:v>https://www.informatics.jax.org/quicksearch/summary?queryType=exactPhrase&amp;query=Klhl6</x:v>
      </x:c>
      <x:c r="H102" s="23" t="str">
        <x:v>https://www.ncbi.nlm.nih.gov/gene/?term=Klhl6%5Bgene%5D%20AND%20Mus%20musculus%5Borgn%5D</x:v>
      </x:c>
    </x:row>
    <x:row r="103">
      <x:c r="A103" s="22" t="n">
        <x:v>100</x:v>
      </x:c>
      <x:c r="B103" s="23" t="str">
        <x:v>Laptm5</x:v>
      </x:c>
      <x:c r="C103" s="23" t="str">
        <x:v>Mus musculus</x:v>
      </x:c>
      <x:c r="D103" s="23" t="str">
        <x:v>Official/current mouse symbol or accepted accession-like symbol</x:v>
      </x:c>
      <x:c r="E103" s="23" t="str">
        <x:v>LAPTM5</x:v>
      </x:c>
      <x:c r="F103" s="23" t="str">
        <x:v>Conserved symbol; human ortholog</x:v>
      </x:c>
      <x:c r="G103" s="23" t="str">
        <x:v>https://www.informatics.jax.org/quicksearch/summary?queryType=exactPhrase&amp;query=Laptm5</x:v>
      </x:c>
      <x:c r="H103" s="23" t="str">
        <x:v>https://www.ncbi.nlm.nih.gov/gene/?term=Laptm5%5Bgene%5D%20AND%20Mus%20musculus%5Borgn%5D</x:v>
      </x:c>
    </x:row>
    <x:row r="104">
      <x:c r="A104" s="22" t="n">
        <x:v>101</x:v>
      </x:c>
      <x:c r="B104" s="23" t="str">
        <x:v>Lcn2</x:v>
      </x:c>
      <x:c r="C104" s="23" t="str">
        <x:v>Mus musculus</x:v>
      </x:c>
      <x:c r="D104" s="23" t="str">
        <x:v>Official/current mouse symbol or accepted accession-like symbol</x:v>
      </x:c>
      <x:c r="E104" s="23" t="str">
        <x:v>LCN2</x:v>
      </x:c>
      <x:c r="F104" s="23" t="str">
        <x:v>Conserved symbol; human ortholog</x:v>
      </x:c>
      <x:c r="G104" s="23" t="str">
        <x:v>https://www.informatics.jax.org/quicksearch/summary?queryType=exactPhrase&amp;query=Lcn2</x:v>
      </x:c>
      <x:c r="H104" s="23" t="str">
        <x:v>https://www.ncbi.nlm.nih.gov/gene/?term=Lcn2%5Bgene%5D%20AND%20Mus%20musculus%5Borgn%5D</x:v>
      </x:c>
    </x:row>
    <x:row r="105">
      <x:c r="A105" s="22" t="n">
        <x:v>102</x:v>
      </x:c>
      <x:c r="B105" s="23" t="str">
        <x:v>Lcp2</x:v>
      </x:c>
      <x:c r="C105" s="23" t="str">
        <x:v>Mus musculus</x:v>
      </x:c>
      <x:c r="D105" s="23" t="str">
        <x:v>Official/current mouse symbol or accepted accession-like symbol</x:v>
      </x:c>
      <x:c r="E105" s="23" t="str">
        <x:v>LCP2</x:v>
      </x:c>
      <x:c r="F105" s="23" t="str">
        <x:v>Conserved symbol; human ortholog</x:v>
      </x:c>
      <x:c r="G105" s="23" t="str">
        <x:v>https://www.informatics.jax.org/quicksearch/summary?queryType=exactPhrase&amp;query=Lcp2</x:v>
      </x:c>
      <x:c r="H105" s="23" t="str">
        <x:v>https://www.ncbi.nlm.nih.gov/gene/?term=Lcp2%5Bgene%5D%20AND%20Mus%20musculus%5Borgn%5D</x:v>
      </x:c>
    </x:row>
    <x:row r="106">
      <x:c r="A106" s="22" t="n">
        <x:v>103</x:v>
      </x:c>
      <x:c r="B106" s="23" t="str">
        <x:v>Lgals9</x:v>
      </x:c>
      <x:c r="C106" s="23" t="str">
        <x:v>Mus musculus</x:v>
      </x:c>
      <x:c r="D106" s="23" t="str">
        <x:v>Official/current mouse symbol or accepted accession-like symbol</x:v>
      </x:c>
      <x:c r="E106" s="23" t="str">
        <x:v>LGALS9</x:v>
      </x:c>
      <x:c r="F106" s="23" t="str">
        <x:v>Conserved symbol; human ortholog</x:v>
      </x:c>
      <x:c r="G106" s="23" t="str">
        <x:v>https://www.informatics.jax.org/quicksearch/summary?queryType=exactPhrase&amp;query=Lgals9</x:v>
      </x:c>
      <x:c r="H106" s="23" t="str">
        <x:v>https://www.ncbi.nlm.nih.gov/gene/?term=Lgals9%5Bgene%5D%20AND%20Mus%20musculus%5Borgn%5D</x:v>
      </x:c>
    </x:row>
    <x:row r="107">
      <x:c r="A107" s="22" t="n">
        <x:v>104</x:v>
      </x:c>
      <x:c r="B107" s="23" t="str">
        <x:v>Lgmn</x:v>
      </x:c>
      <x:c r="C107" s="23" t="str">
        <x:v>Mus musculus</x:v>
      </x:c>
      <x:c r="D107" s="23" t="str">
        <x:v>Official/current mouse symbol or accepted accession-like symbol</x:v>
      </x:c>
      <x:c r="E107" s="23" t="str">
        <x:v>LGMN</x:v>
      </x:c>
      <x:c r="F107" s="23" t="str">
        <x:v>Conserved symbol; human ortholog</x:v>
      </x:c>
      <x:c r="G107" s="23" t="str">
        <x:v>https://www.informatics.jax.org/quicksearch/summary?queryType=exactPhrase&amp;query=Lgmn</x:v>
      </x:c>
      <x:c r="H107" s="23" t="str">
        <x:v>https://www.ncbi.nlm.nih.gov/gene/?term=Lgmn%5Bgene%5D%20AND%20Mus%20musculus%5Borgn%5D</x:v>
      </x:c>
    </x:row>
    <x:row r="108">
      <x:c r="A108" s="22" t="n">
        <x:v>105</x:v>
      </x:c>
      <x:c r="B108" s="23" t="str">
        <x:v>Lrg1</x:v>
      </x:c>
      <x:c r="C108" s="23" t="str">
        <x:v>Mus musculus</x:v>
      </x:c>
      <x:c r="D108" s="23" t="str">
        <x:v>Official/current mouse symbol or accepted accession-like symbol</x:v>
      </x:c>
      <x:c r="E108" s="23" t="str">
        <x:v>LRG1</x:v>
      </x:c>
      <x:c r="F108" s="23" t="str">
        <x:v>Conserved symbol; human ortholog</x:v>
      </x:c>
      <x:c r="G108" s="23" t="str">
        <x:v>https://www.informatics.jax.org/quicksearch/summary?queryType=exactPhrase&amp;query=Lrg1</x:v>
      </x:c>
      <x:c r="H108" s="23" t="str">
        <x:v>https://www.ncbi.nlm.nih.gov/gene/?term=Lrg1%5Bgene%5D%20AND%20Mus%20musculus%5Borgn%5D</x:v>
      </x:c>
    </x:row>
    <x:row r="109">
      <x:c r="A109" s="22" t="n">
        <x:v>106</x:v>
      </x:c>
      <x:c r="B109" s="23" t="str">
        <x:v>Lrp5</x:v>
      </x:c>
      <x:c r="C109" s="23" t="str">
        <x:v>Mus musculus</x:v>
      </x:c>
      <x:c r="D109" s="23" t="str">
        <x:v>Official/current mouse symbol or accepted accession-like symbol</x:v>
      </x:c>
      <x:c r="E109" s="23" t="str">
        <x:v>LRP5</x:v>
      </x:c>
      <x:c r="F109" s="23" t="str">
        <x:v>Conserved symbol; human ortholog</x:v>
      </x:c>
      <x:c r="G109" s="23" t="str">
        <x:v>https://www.informatics.jax.org/quicksearch/summary?queryType=exactPhrase&amp;query=Lrp5</x:v>
      </x:c>
      <x:c r="H109" s="23" t="str">
        <x:v>https://www.ncbi.nlm.nih.gov/gene/?term=Lrp5%5Bgene%5D%20AND%20Mus%20musculus%5Borgn%5D</x:v>
      </x:c>
    </x:row>
    <x:row r="110">
      <x:c r="A110" s="22" t="n">
        <x:v>107</x:v>
      </x:c>
      <x:c r="B110" s="23" t="str">
        <x:v>Lrrc25</x:v>
      </x:c>
      <x:c r="C110" s="23" t="str">
        <x:v>Mus musculus</x:v>
      </x:c>
      <x:c r="D110" s="23" t="str">
        <x:v>Official/current mouse symbol or accepted accession-like symbol</x:v>
      </x:c>
      <x:c r="E110" s="23" t="str">
        <x:v>LRRC25</x:v>
      </x:c>
      <x:c r="F110" s="23" t="str">
        <x:v>Conserved symbol; human ortholog</x:v>
      </x:c>
      <x:c r="G110" s="23" t="str">
        <x:v>https://www.informatics.jax.org/quicksearch/summary?queryType=exactPhrase&amp;query=Lrrc25</x:v>
      </x:c>
      <x:c r="H110" s="23" t="str">
        <x:v>https://www.ncbi.nlm.nih.gov/gene/?term=Lrrc25%5Bgene%5D%20AND%20Mus%20musculus%5Borgn%5D</x:v>
      </x:c>
    </x:row>
    <x:row r="111">
      <x:c r="A111" s="22" t="n">
        <x:v>108</x:v>
      </x:c>
      <x:c r="B111" s="23" t="str">
        <x:v>Lrrk1</x:v>
      </x:c>
      <x:c r="C111" s="23" t="str">
        <x:v>Mus musculus</x:v>
      </x:c>
      <x:c r="D111" s="23" t="str">
        <x:v>Official/current mouse symbol or accepted accession-like symbol</x:v>
      </x:c>
      <x:c r="E111" s="23" t="str">
        <x:v>LRRK1</x:v>
      </x:c>
      <x:c r="F111" s="23" t="str">
        <x:v>Conserved symbol; human ortholog</x:v>
      </x:c>
      <x:c r="G111" s="23" t="str">
        <x:v>https://www.informatics.jax.org/quicksearch/summary?queryType=exactPhrase&amp;query=Lrrk1</x:v>
      </x:c>
      <x:c r="H111" s="23" t="str">
        <x:v>https://www.ncbi.nlm.nih.gov/gene/?term=Lrrk1%5Bgene%5D%20AND%20Mus%20musculus%5Borgn%5D</x:v>
      </x:c>
    </x:row>
    <x:row r="112">
      <x:c r="A112" s="22" t="n">
        <x:v>109</x:v>
      </x:c>
      <x:c r="B112" s="23" t="str">
        <x:v>Lsp1</x:v>
      </x:c>
      <x:c r="C112" s="23" t="str">
        <x:v>Mus musculus</x:v>
      </x:c>
      <x:c r="D112" s="23" t="str">
        <x:v>Official/current mouse symbol or accepted accession-like symbol</x:v>
      </x:c>
      <x:c r="E112" s="23" t="str">
        <x:v>LSP1</x:v>
      </x:c>
      <x:c r="F112" s="23" t="str">
        <x:v>Conserved symbol; human ortholog</x:v>
      </x:c>
      <x:c r="G112" s="23" t="str">
        <x:v>https://www.informatics.jax.org/quicksearch/summary?queryType=exactPhrase&amp;query=Lsp1</x:v>
      </x:c>
      <x:c r="H112" s="23" t="str">
        <x:v>https://www.ncbi.nlm.nih.gov/gene/?term=Lsp1%5Bgene%5D%20AND%20Mus%20musculus%5Borgn%5D</x:v>
      </x:c>
    </x:row>
    <x:row r="113">
      <x:c r="A113" s="22" t="n">
        <x:v>110</x:v>
      </x:c>
      <x:c r="B113" s="23" t="str">
        <x:v>Ltf</x:v>
      </x:c>
      <x:c r="C113" s="23" t="str">
        <x:v>Mus musculus</x:v>
      </x:c>
      <x:c r="D113" s="23" t="str">
        <x:v>Official/current mouse symbol or accepted accession-like symbol</x:v>
      </x:c>
      <x:c r="E113" s="23" t="str">
        <x:v>LTF</x:v>
      </x:c>
      <x:c r="F113" s="23" t="str">
        <x:v>Conserved symbol; human ortholog</x:v>
      </x:c>
      <x:c r="G113" s="23" t="str">
        <x:v>https://www.informatics.jax.org/quicksearch/summary?queryType=exactPhrase&amp;query=Ltf</x:v>
      </x:c>
      <x:c r="H113" s="23" t="str">
        <x:v>https://www.ncbi.nlm.nih.gov/gene/?term=Ltf%5Bgene%5D%20AND%20Mus%20musculus%5Borgn%5D</x:v>
      </x:c>
    </x:row>
    <x:row r="114">
      <x:c r="A114" s="22" t="n">
        <x:v>111</x:v>
      </x:c>
      <x:c r="B114" s="23" t="str">
        <x:v>Ly6c2</x:v>
      </x:c>
      <x:c r="C114" s="23" t="str">
        <x:v>Mus musculus</x:v>
      </x:c>
      <x:c r="D114" s="23" t="str">
        <x:v>Official/current mouse symbol or accepted accession-like symbol</x:v>
      </x:c>
      <x:c r="E114" s="23" t="str"/>
      <x:c r="F114" s="23" t="str">
        <x:v>Mouse-specific LY6C family expansion</x:v>
      </x:c>
      <x:c r="G114" s="23" t="str">
        <x:v>https://www.informatics.jax.org/quicksearch/summary?queryType=exactPhrase&amp;query=Ly6c2</x:v>
      </x:c>
      <x:c r="H114" s="23" t="str">
        <x:v>https://www.ncbi.nlm.nih.gov/gene/?term=Ly6c2%5Bgene%5D%20AND%20Mus%20musculus%5Borgn%5D</x:v>
      </x:c>
    </x:row>
    <x:row r="115">
      <x:c r="A115" s="22" t="n">
        <x:v>112</x:v>
      </x:c>
      <x:c r="B115" s="23" t="str">
        <x:v>Ly6e</x:v>
      </x:c>
      <x:c r="C115" s="23" t="str">
        <x:v>Mus musculus</x:v>
      </x:c>
      <x:c r="D115" s="23" t="str">
        <x:v>Official/current mouse symbol or accepted accession-like symbol</x:v>
      </x:c>
      <x:c r="E115" s="23" t="str">
        <x:v>LY6E</x:v>
      </x:c>
      <x:c r="F115" s="23" t="str">
        <x:v>Conserved symbol; human ortholog</x:v>
      </x:c>
      <x:c r="G115" s="23" t="str">
        <x:v>https://www.informatics.jax.org/quicksearch/summary?queryType=exactPhrase&amp;query=Ly6e</x:v>
      </x:c>
      <x:c r="H115" s="23" t="str">
        <x:v>https://www.ncbi.nlm.nih.gov/gene/?term=Ly6e%5Bgene%5D%20AND%20Mus%20musculus%5Borgn%5D</x:v>
      </x:c>
    </x:row>
    <x:row r="116">
      <x:c r="A116" s="22" t="n">
        <x:v>113</x:v>
      </x:c>
      <x:c r="B116" s="23" t="str">
        <x:v>Ly6h</x:v>
      </x:c>
      <x:c r="C116" s="23" t="str">
        <x:v>Mus musculus</x:v>
      </x:c>
      <x:c r="D116" s="23" t="str">
        <x:v>Official/current mouse symbol or accepted accession-like symbol</x:v>
      </x:c>
      <x:c r="E116" s="23" t="str">
        <x:v>LY6H</x:v>
      </x:c>
      <x:c r="F116" s="23" t="str">
        <x:v>Conserved symbol; human ortholog</x:v>
      </x:c>
      <x:c r="G116" s="23" t="str">
        <x:v>https://www.informatics.jax.org/quicksearch/summary?queryType=exactPhrase&amp;query=Ly6h</x:v>
      </x:c>
      <x:c r="H116" s="23" t="str">
        <x:v>https://www.ncbi.nlm.nih.gov/gene/?term=Ly6h%5Bgene%5D%20AND%20Mus%20musculus%5Borgn%5D</x:v>
      </x:c>
    </x:row>
    <x:row r="117">
      <x:c r="A117" s="22" t="n">
        <x:v>114</x:v>
      </x:c>
      <x:c r="B117" s="23" t="str">
        <x:v>Lyl1</x:v>
      </x:c>
      <x:c r="C117" s="23" t="str">
        <x:v>Mus musculus</x:v>
      </x:c>
      <x:c r="D117" s="23" t="str">
        <x:v>Official/current mouse symbol or accepted accession-like symbol</x:v>
      </x:c>
      <x:c r="E117" s="23" t="str">
        <x:v>LYL1</x:v>
      </x:c>
      <x:c r="F117" s="23" t="str">
        <x:v>Conserved symbol; human ortholog</x:v>
      </x:c>
      <x:c r="G117" s="23" t="str">
        <x:v>https://www.informatics.jax.org/quicksearch/summary?queryType=exactPhrase&amp;query=Lyl1</x:v>
      </x:c>
      <x:c r="H117" s="23" t="str">
        <x:v>https://www.ncbi.nlm.nih.gov/gene/?term=Lyl1%5Bgene%5D%20AND%20Mus%20musculus%5Borgn%5D</x:v>
      </x:c>
    </x:row>
    <x:row r="118">
      <x:c r="A118" s="22" t="n">
        <x:v>115</x:v>
      </x:c>
      <x:c r="B118" s="23" t="str">
        <x:v>Lyz2</x:v>
      </x:c>
      <x:c r="C118" s="23" t="str">
        <x:v>Mus musculus</x:v>
      </x:c>
      <x:c r="D118" s="23" t="str">
        <x:v>Official/current mouse symbol or accepted accession-like symbol</x:v>
      </x:c>
      <x:c r="E118" s="23" t="str">
        <x:v>LYZ</x:v>
      </x:c>
      <x:c r="F118" s="23" t="str">
        <x:v>Conserved lysozyme-family ortholog</x:v>
      </x:c>
      <x:c r="G118" s="23" t="str">
        <x:v>https://www.informatics.jax.org/quicksearch/summary?queryType=exactPhrase&amp;query=Lyz2</x:v>
      </x:c>
      <x:c r="H118" s="23" t="str">
        <x:v>https://www.ncbi.nlm.nih.gov/gene/?term=Lyz2%5Bgene%5D%20AND%20Mus%20musculus%5Borgn%5D</x:v>
      </x:c>
    </x:row>
    <x:row r="119">
      <x:c r="A119" s="22" t="n">
        <x:v>116</x:v>
      </x:c>
      <x:c r="B119" s="23" t="str">
        <x:v>Mki67</x:v>
      </x:c>
      <x:c r="C119" s="23" t="str">
        <x:v>Mus musculus</x:v>
      </x:c>
      <x:c r="D119" s="23" t="str">
        <x:v>Official/current mouse symbol or accepted accession-like symbol</x:v>
      </x:c>
      <x:c r="E119" s="23" t="str">
        <x:v>MKI67</x:v>
      </x:c>
      <x:c r="F119" s="23" t="str">
        <x:v>Conserved symbol; human ortholog</x:v>
      </x:c>
      <x:c r="G119" s="23" t="str">
        <x:v>https://www.informatics.jax.org/quicksearch/summary?queryType=exactPhrase&amp;query=Mki67</x:v>
      </x:c>
      <x:c r="H119" s="23" t="str">
        <x:v>https://www.ncbi.nlm.nih.gov/gene/?term=Mki67%5Bgene%5D%20AND%20Mus%20musculus%5Borgn%5D</x:v>
      </x:c>
    </x:row>
    <x:row r="120">
      <x:c r="A120" s="22" t="n">
        <x:v>117</x:v>
      </x:c>
      <x:c r="B120" s="23" t="str">
        <x:v>Mmp19</x:v>
      </x:c>
      <x:c r="C120" s="23" t="str">
        <x:v>Mus musculus</x:v>
      </x:c>
      <x:c r="D120" s="23" t="str">
        <x:v>Official/current mouse symbol or accepted accession-like symbol</x:v>
      </x:c>
      <x:c r="E120" s="23" t="str">
        <x:v>MMP19</x:v>
      </x:c>
      <x:c r="F120" s="23" t="str">
        <x:v>Conserved symbol; human ortholog</x:v>
      </x:c>
      <x:c r="G120" s="23" t="str">
        <x:v>https://www.informatics.jax.org/quicksearch/summary?queryType=exactPhrase&amp;query=Mmp19</x:v>
      </x:c>
      <x:c r="H120" s="23" t="str">
        <x:v>https://www.ncbi.nlm.nih.gov/gene/?term=Mmp19%5Bgene%5D%20AND%20Mus%20musculus%5Borgn%5D</x:v>
      </x:c>
    </x:row>
    <x:row r="121">
      <x:c r="A121" s="22" t="n">
        <x:v>118</x:v>
      </x:c>
      <x:c r="B121" s="23" t="str">
        <x:v>Mmp8</x:v>
      </x:c>
      <x:c r="C121" s="23" t="str">
        <x:v>Mus musculus</x:v>
      </x:c>
      <x:c r="D121" s="23" t="str">
        <x:v>Official/current mouse symbol or accepted accession-like symbol</x:v>
      </x:c>
      <x:c r="E121" s="23" t="str">
        <x:v>MMP8</x:v>
      </x:c>
      <x:c r="F121" s="23" t="str">
        <x:v>Conserved symbol; human ortholog</x:v>
      </x:c>
      <x:c r="G121" s="23" t="str">
        <x:v>https://www.informatics.jax.org/quicksearch/summary?queryType=exactPhrase&amp;query=Mmp8</x:v>
      </x:c>
      <x:c r="H121" s="23" t="str">
        <x:v>https://www.ncbi.nlm.nih.gov/gene/?term=Mmp8%5Bgene%5D%20AND%20Mus%20musculus%5Borgn%5D</x:v>
      </x:c>
    </x:row>
    <x:row r="122">
      <x:c r="A122" s="22" t="n">
        <x:v>119</x:v>
      </x:c>
      <x:c r="B122" s="23" t="str">
        <x:v>Mov10</x:v>
      </x:c>
      <x:c r="C122" s="23" t="str">
        <x:v>Mus musculus</x:v>
      </x:c>
      <x:c r="D122" s="23" t="str">
        <x:v>Official/current mouse symbol or accepted accession-like symbol</x:v>
      </x:c>
      <x:c r="E122" s="23" t="str">
        <x:v>MOV10</x:v>
      </x:c>
      <x:c r="F122" s="23" t="str">
        <x:v>Conserved symbol; human ortholog</x:v>
      </x:c>
      <x:c r="G122" s="23" t="str">
        <x:v>https://www.informatics.jax.org/quicksearch/summary?queryType=exactPhrase&amp;query=Mov10</x:v>
      </x:c>
      <x:c r="H122" s="23" t="str">
        <x:v>https://www.ncbi.nlm.nih.gov/gene/?term=Mov10%5Bgene%5D%20AND%20Mus%20musculus%5Borgn%5D</x:v>
      </x:c>
    </x:row>
    <x:row r="123">
      <x:c r="A123" s="22" t="n">
        <x:v>120</x:v>
      </x:c>
      <x:c r="B123" s="23" t="str">
        <x:v>Mpeg1</x:v>
      </x:c>
      <x:c r="C123" s="23" t="str">
        <x:v>Mus musculus</x:v>
      </x:c>
      <x:c r="D123" s="23" t="str">
        <x:v>Official/current mouse symbol or accepted accession-like symbol</x:v>
      </x:c>
      <x:c r="E123" s="23" t="str">
        <x:v>MPEG1</x:v>
      </x:c>
      <x:c r="F123" s="23" t="str">
        <x:v>Conserved symbol; human ortholog</x:v>
      </x:c>
      <x:c r="G123" s="23" t="str">
        <x:v>https://www.informatics.jax.org/quicksearch/summary?queryType=exactPhrase&amp;query=Mpeg1</x:v>
      </x:c>
      <x:c r="H123" s="23" t="str">
        <x:v>https://www.ncbi.nlm.nih.gov/gene/?term=Mpeg1%5Bgene%5D%20AND%20Mus%20musculus%5Borgn%5D</x:v>
      </x:c>
    </x:row>
    <x:row r="124">
      <x:c r="A124" s="22" t="n">
        <x:v>121</x:v>
      </x:c>
      <x:c r="B124" s="23" t="str">
        <x:v>Mrc1</x:v>
      </x:c>
      <x:c r="C124" s="23" t="str">
        <x:v>Mus musculus</x:v>
      </x:c>
      <x:c r="D124" s="23" t="str">
        <x:v>Official/current mouse symbol or accepted accession-like symbol</x:v>
      </x:c>
      <x:c r="E124" s="23" t="str">
        <x:v>MRC1</x:v>
      </x:c>
      <x:c r="F124" s="23" t="str">
        <x:v>Conserved symbol; human ortholog</x:v>
      </x:c>
      <x:c r="G124" s="23" t="str">
        <x:v>https://www.informatics.jax.org/quicksearch/summary?queryType=exactPhrase&amp;query=Mrc1</x:v>
      </x:c>
      <x:c r="H124" s="23" t="str">
        <x:v>https://www.ncbi.nlm.nih.gov/gene/?term=Mrc1%5Bgene%5D%20AND%20Mus%20musculus%5Borgn%5D</x:v>
      </x:c>
    </x:row>
    <x:row r="125">
      <x:c r="A125" s="22" t="n">
        <x:v>122</x:v>
      </x:c>
      <x:c r="B125" s="23" t="str">
        <x:v>Ms4a6c</x:v>
      </x:c>
      <x:c r="C125" s="23" t="str">
        <x:v>Mus musculus</x:v>
      </x:c>
      <x:c r="D125" s="23" t="str">
        <x:v>Official/current mouse symbol or accepted accession-like symbol</x:v>
      </x:c>
      <x:c r="E125" s="23" t="str">
        <x:v>MS4A6A/MS4A6E</x:v>
      </x:c>
      <x:c r="F125" s="23" t="str">
        <x:v>One mouse gene to multiple human MS4A6 genes</x:v>
      </x:c>
      <x:c r="G125" s="23" t="str">
        <x:v>https://www.informatics.jax.org/quicksearch/summary?queryType=exactPhrase&amp;query=Ms4a6c</x:v>
      </x:c>
      <x:c r="H125" s="23" t="str">
        <x:v>https://www.ncbi.nlm.nih.gov/gene/?term=Ms4a6c%5Bgene%5D%20AND%20Mus%20musculus%5Borgn%5D</x:v>
      </x:c>
    </x:row>
    <x:row r="126">
      <x:c r="A126" s="22" t="n">
        <x:v>123</x:v>
      </x:c>
      <x:c r="B126" s="23" t="str">
        <x:v>Myo1f</x:v>
      </x:c>
      <x:c r="C126" s="23" t="str">
        <x:v>Mus musculus</x:v>
      </x:c>
      <x:c r="D126" s="23" t="str">
        <x:v>Official/current mouse symbol or accepted accession-like symbol</x:v>
      </x:c>
      <x:c r="E126" s="23" t="str">
        <x:v>MYO1F</x:v>
      </x:c>
      <x:c r="F126" s="23" t="str">
        <x:v>Conserved symbol; human ortholog</x:v>
      </x:c>
      <x:c r="G126" s="23" t="str">
        <x:v>https://www.informatics.jax.org/quicksearch/summary?queryType=exactPhrase&amp;query=Myo1f</x:v>
      </x:c>
      <x:c r="H126" s="23" t="str">
        <x:v>https://www.ncbi.nlm.nih.gov/gene/?term=Myo1f%5Bgene%5D%20AND%20Mus%20musculus%5Borgn%5D</x:v>
      </x:c>
    </x:row>
    <x:row r="127">
      <x:c r="A127" s="22" t="n">
        <x:v>124</x:v>
      </x:c>
      <x:c r="B127" s="23" t="str">
        <x:v>Myo1g</x:v>
      </x:c>
      <x:c r="C127" s="23" t="str">
        <x:v>Mus musculus</x:v>
      </x:c>
      <x:c r="D127" s="23" t="str">
        <x:v>Official/current mouse symbol or accepted accession-like symbol</x:v>
      </x:c>
      <x:c r="E127" s="23" t="str">
        <x:v>MYO1G</x:v>
      </x:c>
      <x:c r="F127" s="23" t="str">
        <x:v>Conserved symbol; human ortholog</x:v>
      </x:c>
      <x:c r="G127" s="23" t="str">
        <x:v>https://www.informatics.jax.org/quicksearch/summary?queryType=exactPhrase&amp;query=Myo1g</x:v>
      </x:c>
      <x:c r="H127" s="23" t="str">
        <x:v>https://www.ncbi.nlm.nih.gov/gene/?term=Myo1g%5Bgene%5D%20AND%20Mus%20musculus%5Borgn%5D</x:v>
      </x:c>
    </x:row>
    <x:row r="128">
      <x:c r="A128" s="22" t="n">
        <x:v>125</x:v>
      </x:c>
      <x:c r="B128" s="23" t="str">
        <x:v>Naglu</x:v>
      </x:c>
      <x:c r="C128" s="23" t="str">
        <x:v>Mus musculus</x:v>
      </x:c>
      <x:c r="D128" s="23" t="str">
        <x:v>Official/current mouse symbol or accepted accession-like symbol</x:v>
      </x:c>
      <x:c r="E128" s="23" t="str">
        <x:v>NAGLU</x:v>
      </x:c>
      <x:c r="F128" s="23" t="str">
        <x:v>Conserved symbol; human ortholog</x:v>
      </x:c>
      <x:c r="G128" s="23" t="str">
        <x:v>https://www.informatics.jax.org/quicksearch/summary?queryType=exactPhrase&amp;query=Naglu</x:v>
      </x:c>
      <x:c r="H128" s="23" t="str">
        <x:v>https://www.ncbi.nlm.nih.gov/gene/?term=Naglu%5Bgene%5D%20AND%20Mus%20musculus%5Borgn%5D</x:v>
      </x:c>
    </x:row>
    <x:row r="129">
      <x:c r="A129" s="22" t="n">
        <x:v>126</x:v>
      </x:c>
      <x:c r="B129" s="23" t="str">
        <x:v>Naip6</x:v>
      </x:c>
      <x:c r="C129" s="23" t="str">
        <x:v>Mus musculus</x:v>
      </x:c>
      <x:c r="D129" s="23" t="str">
        <x:v>Official/current mouse symbol or accepted accession-like symbol</x:v>
      </x:c>
      <x:c r="E129" s="23" t="str">
        <x:v>NAIP</x:v>
      </x:c>
      <x:c r="F129" s="23" t="str">
        <x:v>Mouse NAIP-family paralog to single human NAIP</x:v>
      </x:c>
      <x:c r="G129" s="23" t="str">
        <x:v>https://www.informatics.jax.org/quicksearch/summary?queryType=exactPhrase&amp;query=Naip6</x:v>
      </x:c>
      <x:c r="H129" s="23" t="str">
        <x:v>https://www.ncbi.nlm.nih.gov/gene/?term=Naip6%5Bgene%5D%20AND%20Mus%20musculus%5Borgn%5D</x:v>
      </x:c>
    </x:row>
    <x:row r="130">
      <x:c r="A130" s="22" t="n">
        <x:v>127</x:v>
      </x:c>
      <x:c r="B130" s="23" t="str">
        <x:v>Ncf1</x:v>
      </x:c>
      <x:c r="C130" s="23" t="str">
        <x:v>Mus musculus</x:v>
      </x:c>
      <x:c r="D130" s="23" t="str">
        <x:v>Official/current mouse symbol or accepted accession-like symbol</x:v>
      </x:c>
      <x:c r="E130" s="23" t="str">
        <x:v>NCF1</x:v>
      </x:c>
      <x:c r="F130" s="23" t="str">
        <x:v>Conserved symbol; human ortholog</x:v>
      </x:c>
      <x:c r="G130" s="23" t="str">
        <x:v>https://www.informatics.jax.org/quicksearch/summary?queryType=exactPhrase&amp;query=Ncf1</x:v>
      </x:c>
      <x:c r="H130" s="23" t="str">
        <x:v>https://www.ncbi.nlm.nih.gov/gene/?term=Ncf1%5Bgene%5D%20AND%20Mus%20musculus%5Borgn%5D</x:v>
      </x:c>
    </x:row>
    <x:row r="131">
      <x:c r="A131" s="22" t="n">
        <x:v>128</x:v>
      </x:c>
      <x:c r="B131" s="23" t="str">
        <x:v>Ncf2</x:v>
      </x:c>
      <x:c r="C131" s="23" t="str">
        <x:v>Mus musculus</x:v>
      </x:c>
      <x:c r="D131" s="23" t="str">
        <x:v>Official/current mouse symbol or accepted accession-like symbol</x:v>
      </x:c>
      <x:c r="E131" s="23" t="str">
        <x:v>NCF2</x:v>
      </x:c>
      <x:c r="F131" s="23" t="str">
        <x:v>Conserved symbol; human ortholog</x:v>
      </x:c>
      <x:c r="G131" s="23" t="str">
        <x:v>https://www.informatics.jax.org/quicksearch/summary?queryType=exactPhrase&amp;query=Ncf2</x:v>
      </x:c>
      <x:c r="H131" s="23" t="str">
        <x:v>https://www.ncbi.nlm.nih.gov/gene/?term=Ncf2%5Bgene%5D%20AND%20Mus%20musculus%5Borgn%5D</x:v>
      </x:c>
    </x:row>
    <x:row r="132">
      <x:c r="A132" s="22" t="n">
        <x:v>129</x:v>
      </x:c>
      <x:c r="B132" s="23" t="str">
        <x:v>Nfkbia</x:v>
      </x:c>
      <x:c r="C132" s="23" t="str">
        <x:v>Mus musculus</x:v>
      </x:c>
      <x:c r="D132" s="23" t="str">
        <x:v>Official/current mouse symbol or accepted accession-like symbol</x:v>
      </x:c>
      <x:c r="E132" s="23" t="str">
        <x:v>NFKBIA</x:v>
      </x:c>
      <x:c r="F132" s="23" t="str">
        <x:v>Conserved symbol; human ortholog</x:v>
      </x:c>
      <x:c r="G132" s="23" t="str">
        <x:v>https://www.informatics.jax.org/quicksearch/summary?queryType=exactPhrase&amp;query=Nfkbia</x:v>
      </x:c>
      <x:c r="H132" s="23" t="str">
        <x:v>https://www.ncbi.nlm.nih.gov/gene/?term=Nfkbia%5Bgene%5D%20AND%20Mus%20musculus%5Borgn%5D</x:v>
      </x:c>
    </x:row>
    <x:row r="133">
      <x:c r="A133" s="22" t="n">
        <x:v>130</x:v>
      </x:c>
      <x:c r="B133" s="23" t="str">
        <x:v>Nfkbiz</x:v>
      </x:c>
      <x:c r="C133" s="23" t="str">
        <x:v>Mus musculus</x:v>
      </x:c>
      <x:c r="D133" s="23" t="str">
        <x:v>Official/current mouse symbol or accepted accession-like symbol</x:v>
      </x:c>
      <x:c r="E133" s="23" t="str">
        <x:v>NFKBIZ</x:v>
      </x:c>
      <x:c r="F133" s="23" t="str">
        <x:v>Conserved symbol; human ortholog</x:v>
      </x:c>
      <x:c r="G133" s="23" t="str">
        <x:v>https://www.informatics.jax.org/quicksearch/summary?queryType=exactPhrase&amp;query=Nfkbiz</x:v>
      </x:c>
      <x:c r="H133" s="23" t="str">
        <x:v>https://www.ncbi.nlm.nih.gov/gene/?term=Nfkbiz%5Bgene%5D%20AND%20Mus%20musculus%5Borgn%5D</x:v>
      </x:c>
    </x:row>
    <x:row r="134">
      <x:c r="A134" s="22" t="n">
        <x:v>131</x:v>
      </x:c>
      <x:c r="B134" s="23" t="str">
        <x:v>Nmi</x:v>
      </x:c>
      <x:c r="C134" s="23" t="str">
        <x:v>Mus musculus</x:v>
      </x:c>
      <x:c r="D134" s="23" t="str">
        <x:v>Official/current mouse symbol or accepted accession-like symbol</x:v>
      </x:c>
      <x:c r="E134" s="23" t="str">
        <x:v>NMI</x:v>
      </x:c>
      <x:c r="F134" s="23" t="str">
        <x:v>Conserved symbol; human ortholog</x:v>
      </x:c>
      <x:c r="G134" s="23" t="str">
        <x:v>https://www.informatics.jax.org/quicksearch/summary?queryType=exactPhrase&amp;query=Nmi</x:v>
      </x:c>
      <x:c r="H134" s="23" t="str">
        <x:v>https://www.ncbi.nlm.nih.gov/gene/?term=Nmi%5Bgene%5D%20AND%20Mus%20musculus%5Borgn%5D</x:v>
      </x:c>
    </x:row>
    <x:row r="135">
      <x:c r="A135" s="22" t="n">
        <x:v>132</x:v>
      </x:c>
      <x:c r="B135" s="23" t="str">
        <x:v>Nmnat2</x:v>
      </x:c>
      <x:c r="C135" s="23" t="str">
        <x:v>Mus musculus</x:v>
      </x:c>
      <x:c r="D135" s="23" t="str">
        <x:v>Official/current mouse symbol or accepted accession-like symbol</x:v>
      </x:c>
      <x:c r="E135" s="23" t="str">
        <x:v>NMNAT2</x:v>
      </x:c>
      <x:c r="F135" s="23" t="str">
        <x:v>Conserved symbol; human ortholog</x:v>
      </x:c>
      <x:c r="G135" s="23" t="str">
        <x:v>https://www.informatics.jax.org/quicksearch/summary?queryType=exactPhrase&amp;query=Nmnat2</x:v>
      </x:c>
      <x:c r="H135" s="23" t="str">
        <x:v>https://www.ncbi.nlm.nih.gov/gene/?term=Nmnat2%5Bgene%5D%20AND%20Mus%20musculus%5Borgn%5D</x:v>
      </x:c>
    </x:row>
    <x:row r="136">
      <x:c r="A136" s="22" t="n">
        <x:v>133</x:v>
      </x:c>
      <x:c r="B136" s="23" t="str">
        <x:v>Npc2</x:v>
      </x:c>
      <x:c r="C136" s="23" t="str">
        <x:v>Mus musculus</x:v>
      </x:c>
      <x:c r="D136" s="23" t="str">
        <x:v>Official/current mouse symbol or accepted accession-like symbol</x:v>
      </x:c>
      <x:c r="E136" s="23" t="str">
        <x:v>NPC2</x:v>
      </x:c>
      <x:c r="F136" s="23" t="str">
        <x:v>Conserved symbol; human ortholog</x:v>
      </x:c>
      <x:c r="G136" s="23" t="str">
        <x:v>https://www.informatics.jax.org/quicksearch/summary?queryType=exactPhrase&amp;query=Npc2</x:v>
      </x:c>
      <x:c r="H136" s="23" t="str">
        <x:v>https://www.ncbi.nlm.nih.gov/gene/?term=Npc2%5Bgene%5D%20AND%20Mus%20musculus%5Borgn%5D</x:v>
      </x:c>
    </x:row>
    <x:row r="137">
      <x:c r="A137" s="22" t="n">
        <x:v>134</x:v>
      </x:c>
      <x:c r="B137" s="23" t="str">
        <x:v>Nt5c</x:v>
      </x:c>
      <x:c r="C137" s="23" t="str">
        <x:v>Mus musculus</x:v>
      </x:c>
      <x:c r="D137" s="23" t="str">
        <x:v>Official/current mouse symbol or accepted accession-like symbol</x:v>
      </x:c>
      <x:c r="E137" s="23" t="str">
        <x:v>NT5C</x:v>
      </x:c>
      <x:c r="F137" s="23" t="str">
        <x:v>Conserved symbol; human ortholog</x:v>
      </x:c>
      <x:c r="G137" s="23" t="str">
        <x:v>https://www.informatics.jax.org/quicksearch/summary?queryType=exactPhrase&amp;query=Nt5c</x:v>
      </x:c>
      <x:c r="H137" s="23" t="str">
        <x:v>https://www.ncbi.nlm.nih.gov/gene/?term=Nt5c%5Bgene%5D%20AND%20Mus%20musculus%5Borgn%5D</x:v>
      </x:c>
    </x:row>
    <x:row r="138">
      <x:c r="A138" s="22" t="n">
        <x:v>135</x:v>
      </x:c>
      <x:c r="B138" s="23" t="str">
        <x:v>Nub1</x:v>
      </x:c>
      <x:c r="C138" s="23" t="str">
        <x:v>Mus musculus</x:v>
      </x:c>
      <x:c r="D138" s="23" t="str">
        <x:v>Official/current mouse symbol or accepted accession-like symbol</x:v>
      </x:c>
      <x:c r="E138" s="23" t="str">
        <x:v>NUB1</x:v>
      </x:c>
      <x:c r="F138" s="23" t="str">
        <x:v>Conserved symbol; human ortholog</x:v>
      </x:c>
      <x:c r="G138" s="23" t="str">
        <x:v>https://www.informatics.jax.org/quicksearch/summary?queryType=exactPhrase&amp;query=Nub1</x:v>
      </x:c>
      <x:c r="H138" s="23" t="str">
        <x:v>https://www.ncbi.nlm.nih.gov/gene/?term=Nub1%5Bgene%5D%20AND%20Mus%20musculus%5Borgn%5D</x:v>
      </x:c>
    </x:row>
    <x:row r="139">
      <x:c r="A139" s="22" t="n">
        <x:v>136</x:v>
      </x:c>
      <x:c r="B139" s="23" t="str">
        <x:v>Oas1a</x:v>
      </x:c>
      <x:c r="C139" s="23" t="str">
        <x:v>Mus musculus</x:v>
      </x:c>
      <x:c r="D139" s="23" t="str">
        <x:v>Official/current mouse symbol or accepted accession-like symbol</x:v>
      </x:c>
      <x:c r="E139" s="23" t="str">
        <x:v>OAS1</x:v>
      </x:c>
      <x:c r="F139" s="23" t="str">
        <x:v>Mouse Oas1 paralog-family mapping</x:v>
      </x:c>
      <x:c r="G139" s="23" t="str">
        <x:v>https://www.informatics.jax.org/quicksearch/summary?queryType=exactPhrase&amp;query=Oas1a</x:v>
      </x:c>
      <x:c r="H139" s="23" t="str">
        <x:v>https://www.ncbi.nlm.nih.gov/gene/?term=Oas1a%5Bgene%5D%20AND%20Mus%20musculus%5Borgn%5D</x:v>
      </x:c>
    </x:row>
    <x:row r="140">
      <x:c r="A140" s="22" t="n">
        <x:v>137</x:v>
      </x:c>
      <x:c r="B140" s="23" t="str">
        <x:v>Os9</x:v>
      </x:c>
      <x:c r="C140" s="23" t="str">
        <x:v>Mus musculus</x:v>
      </x:c>
      <x:c r="D140" s="23" t="str">
        <x:v>Official/current mouse symbol or accepted accession-like symbol</x:v>
      </x:c>
      <x:c r="E140" s="23" t="str">
        <x:v>OS9</x:v>
      </x:c>
      <x:c r="F140" s="23" t="str">
        <x:v>Conserved symbol; human ortholog</x:v>
      </x:c>
      <x:c r="G140" s="23" t="str">
        <x:v>https://www.informatics.jax.org/quicksearch/summary?queryType=exactPhrase&amp;query=Os9</x:v>
      </x:c>
      <x:c r="H140" s="23" t="str">
        <x:v>https://www.ncbi.nlm.nih.gov/gene/?term=Os9%5Bgene%5D%20AND%20Mus%20musculus%5Borgn%5D</x:v>
      </x:c>
    </x:row>
    <x:row r="141">
      <x:c r="A141" s="22" t="n">
        <x:v>138</x:v>
      </x:c>
      <x:c r="B141" s="23" t="str">
        <x:v>Osm</x:v>
      </x:c>
      <x:c r="C141" s="23" t="str">
        <x:v>Mus musculus</x:v>
      </x:c>
      <x:c r="D141" s="23" t="str">
        <x:v>Official/current mouse symbol or accepted accession-like symbol</x:v>
      </x:c>
      <x:c r="E141" s="23" t="str">
        <x:v>OSM</x:v>
      </x:c>
      <x:c r="F141" s="23" t="str">
        <x:v>Conserved symbol; human ortholog</x:v>
      </x:c>
      <x:c r="G141" s="23" t="str">
        <x:v>https://www.informatics.jax.org/quicksearch/summary?queryType=exactPhrase&amp;query=Osm</x:v>
      </x:c>
      <x:c r="H141" s="23" t="str">
        <x:v>https://www.ncbi.nlm.nih.gov/gene/?term=Osm%5Bgene%5D%20AND%20Mus%20musculus%5Borgn%5D</x:v>
      </x:c>
    </x:row>
    <x:row r="142">
      <x:c r="A142" s="22" t="n">
        <x:v>139</x:v>
      </x:c>
      <x:c r="B142" s="23" t="str">
        <x:v>P2ry6</x:v>
      </x:c>
      <x:c r="C142" s="23" t="str">
        <x:v>Mus musculus</x:v>
      </x:c>
      <x:c r="D142" s="23" t="str">
        <x:v>Official/current mouse symbol or accepted accession-like symbol</x:v>
      </x:c>
      <x:c r="E142" s="23" t="str">
        <x:v>P2RY6</x:v>
      </x:c>
      <x:c r="F142" s="23" t="str">
        <x:v>Conserved symbol; human ortholog</x:v>
      </x:c>
      <x:c r="G142" s="23" t="str">
        <x:v>https://www.informatics.jax.org/quicksearch/summary?queryType=exactPhrase&amp;query=P2ry6</x:v>
      </x:c>
      <x:c r="H142" s="23" t="str">
        <x:v>https://www.ncbi.nlm.nih.gov/gene/?term=P2ry6%5Bgene%5D%20AND%20Mus%20musculus%5Borgn%5D</x:v>
      </x:c>
    </x:row>
    <x:row r="143">
      <x:c r="A143" s="22" t="n">
        <x:v>140</x:v>
      </x:c>
      <x:c r="B143" s="23" t="str">
        <x:v>Pald1</x:v>
      </x:c>
      <x:c r="C143" s="23" t="str">
        <x:v>Mus musculus</x:v>
      </x:c>
      <x:c r="D143" s="23" t="str">
        <x:v>Official/current mouse symbol or accepted accession-like symbol</x:v>
      </x:c>
      <x:c r="E143" s="23" t="str">
        <x:v>PALD1</x:v>
      </x:c>
      <x:c r="F143" s="23" t="str">
        <x:v>Conserved symbol; human ortholog</x:v>
      </x:c>
      <x:c r="G143" s="23" t="str">
        <x:v>https://www.informatics.jax.org/quicksearch/summary?queryType=exactPhrase&amp;query=Pald1</x:v>
      </x:c>
      <x:c r="H143" s="23" t="str">
        <x:v>https://www.ncbi.nlm.nih.gov/gene/?term=Pald1%5Bgene%5D%20AND%20Mus%20musculus%5Borgn%5D</x:v>
      </x:c>
    </x:row>
    <x:row r="144">
      <x:c r="A144" s="22" t="n">
        <x:v>141</x:v>
      </x:c>
      <x:c r="B144" s="23" t="str">
        <x:v>Pdia6</x:v>
      </x:c>
      <x:c r="C144" s="23" t="str">
        <x:v>Mus musculus</x:v>
      </x:c>
      <x:c r="D144" s="23" t="str">
        <x:v>Official/current mouse symbol or accepted accession-like symbol</x:v>
      </x:c>
      <x:c r="E144" s="23" t="str">
        <x:v>PDIA6</x:v>
      </x:c>
      <x:c r="F144" s="23" t="str">
        <x:v>Conserved symbol; human ortholog</x:v>
      </x:c>
      <x:c r="G144" s="23" t="str">
        <x:v>https://www.informatics.jax.org/quicksearch/summary?queryType=exactPhrase&amp;query=Pdia6</x:v>
      </x:c>
      <x:c r="H144" s="23" t="str">
        <x:v>https://www.ncbi.nlm.nih.gov/gene/?term=Pdia6%5Bgene%5D%20AND%20Mus%20musculus%5Borgn%5D</x:v>
      </x:c>
    </x:row>
    <x:row r="145">
      <x:c r="A145" s="22" t="n">
        <x:v>142</x:v>
      </x:c>
      <x:c r="B145" s="23" t="str">
        <x:v>Pgd</x:v>
      </x:c>
      <x:c r="C145" s="23" t="str">
        <x:v>Mus musculus</x:v>
      </x:c>
      <x:c r="D145" s="23" t="str">
        <x:v>Official/current mouse symbol or accepted accession-like symbol</x:v>
      </x:c>
      <x:c r="E145" s="23" t="str">
        <x:v>PGD</x:v>
      </x:c>
      <x:c r="F145" s="23" t="str">
        <x:v>Conserved symbol; human ortholog</x:v>
      </x:c>
      <x:c r="G145" s="23" t="str">
        <x:v>https://www.informatics.jax.org/quicksearch/summary?queryType=exactPhrase&amp;query=Pgd</x:v>
      </x:c>
      <x:c r="H145" s="23" t="str">
        <x:v>https://www.ncbi.nlm.nih.gov/gene/?term=Pgd%5Bgene%5D%20AND%20Mus%20musculus%5Borgn%5D</x:v>
      </x:c>
    </x:row>
    <x:row r="146">
      <x:c r="A146" s="22" t="n">
        <x:v>143</x:v>
      </x:c>
      <x:c r="B146" s="23" t="str">
        <x:v>Pglyrp1</x:v>
      </x:c>
      <x:c r="C146" s="23" t="str">
        <x:v>Mus musculus</x:v>
      </x:c>
      <x:c r="D146" s="23" t="str">
        <x:v>Official/current mouse symbol or accepted accession-like symbol</x:v>
      </x:c>
      <x:c r="E146" s="23" t="str">
        <x:v>PGLYRP1</x:v>
      </x:c>
      <x:c r="F146" s="23" t="str">
        <x:v>Conserved symbol; human ortholog</x:v>
      </x:c>
      <x:c r="G146" s="23" t="str">
        <x:v>https://www.informatics.jax.org/quicksearch/summary?queryType=exactPhrase&amp;query=Pglyrp1</x:v>
      </x:c>
      <x:c r="H146" s="23" t="str">
        <x:v>https://www.ncbi.nlm.nih.gov/gene/?term=Pglyrp1%5Bgene%5D%20AND%20Mus%20musculus%5Borgn%5D</x:v>
      </x:c>
    </x:row>
    <x:row r="147">
      <x:c r="A147" s="22" t="n">
        <x:v>144</x:v>
      </x:c>
      <x:c r="B147" s="23" t="str">
        <x:v>Pik3cg</x:v>
      </x:c>
      <x:c r="C147" s="23" t="str">
        <x:v>Mus musculus</x:v>
      </x:c>
      <x:c r="D147" s="23" t="str">
        <x:v>Official/current mouse symbol or accepted accession-like symbol</x:v>
      </x:c>
      <x:c r="E147" s="23" t="str">
        <x:v>PIK3CG</x:v>
      </x:c>
      <x:c r="F147" s="23" t="str">
        <x:v>Conserved symbol; human ortholog</x:v>
      </x:c>
      <x:c r="G147" s="23" t="str">
        <x:v>https://www.informatics.jax.org/quicksearch/summary?queryType=exactPhrase&amp;query=Pik3cg</x:v>
      </x:c>
      <x:c r="H147" s="23" t="str">
        <x:v>https://www.ncbi.nlm.nih.gov/gene/?term=Pik3cg%5Bgene%5D%20AND%20Mus%20musculus%5Borgn%5D</x:v>
      </x:c>
    </x:row>
    <x:row r="148">
      <x:c r="A148" s="22" t="n">
        <x:v>145</x:v>
      </x:c>
      <x:c r="B148" s="23" t="str">
        <x:v>Pirb</x:v>
      </x:c>
      <x:c r="C148" s="23" t="str">
        <x:v>Mus musculus</x:v>
      </x:c>
      <x:c r="D148" s="23" t="str">
        <x:v>Official/current mouse symbol or accepted accession-like symbol</x:v>
      </x:c>
      <x:c r="E148" s="23" t="str">
        <x:v>LILRA1/2/3/4/6 and LILRB1/2/5</x:v>
      </x:c>
      <x:c r="F148" s="23" t="str">
        <x:v>One-to-many LILR orthology complex</x:v>
      </x:c>
      <x:c r="G148" s="23" t="str">
        <x:v>https://www.informatics.jax.org/quicksearch/summary?queryType=exactPhrase&amp;query=Pirb</x:v>
      </x:c>
      <x:c r="H148" s="23" t="str">
        <x:v>https://www.ncbi.nlm.nih.gov/gene/?term=Pirb%5Bgene%5D%20AND%20Mus%20musculus%5Borgn%5D</x:v>
      </x:c>
    </x:row>
    <x:row r="149">
      <x:c r="A149" s="22" t="n">
        <x:v>146</x:v>
      </x:c>
      <x:c r="B149" s="23" t="str">
        <x:v>Plau</x:v>
      </x:c>
      <x:c r="C149" s="23" t="str">
        <x:v>Mus musculus</x:v>
      </x:c>
      <x:c r="D149" s="23" t="str">
        <x:v>Official/current mouse symbol or accepted accession-like symbol</x:v>
      </x:c>
      <x:c r="E149" s="23" t="str">
        <x:v>PLAU</x:v>
      </x:c>
      <x:c r="F149" s="23" t="str">
        <x:v>Conserved symbol; human ortholog</x:v>
      </x:c>
      <x:c r="G149" s="23" t="str">
        <x:v>https://www.informatics.jax.org/quicksearch/summary?queryType=exactPhrase&amp;query=Plau</x:v>
      </x:c>
      <x:c r="H149" s="23" t="str">
        <x:v>https://www.ncbi.nlm.nih.gov/gene/?term=Plau%5Bgene%5D%20AND%20Mus%20musculus%5Borgn%5D</x:v>
      </x:c>
    </x:row>
    <x:row r="150">
      <x:c r="A150" s="22" t="n">
        <x:v>147</x:v>
      </x:c>
      <x:c r="B150" s="23" t="str">
        <x:v>Plaur</x:v>
      </x:c>
      <x:c r="C150" s="23" t="str">
        <x:v>Mus musculus</x:v>
      </x:c>
      <x:c r="D150" s="23" t="str">
        <x:v>Official/current mouse symbol or accepted accession-like symbol</x:v>
      </x:c>
      <x:c r="E150" s="23" t="str">
        <x:v>PLAUR</x:v>
      </x:c>
      <x:c r="F150" s="23" t="str">
        <x:v>Conserved symbol; human ortholog</x:v>
      </x:c>
      <x:c r="G150" s="23" t="str">
        <x:v>https://www.informatics.jax.org/quicksearch/summary?queryType=exactPhrase&amp;query=Plaur</x:v>
      </x:c>
      <x:c r="H150" s="23" t="str">
        <x:v>https://www.ncbi.nlm.nih.gov/gene/?term=Plaur%5Bgene%5D%20AND%20Mus%20musculus%5Borgn%5D</x:v>
      </x:c>
    </x:row>
    <x:row r="151">
      <x:c r="A151" s="22" t="n">
        <x:v>148</x:v>
      </x:c>
      <x:c r="B151" s="23" t="str">
        <x:v>Plbd1</x:v>
      </x:c>
      <x:c r="C151" s="23" t="str">
        <x:v>Mus musculus</x:v>
      </x:c>
      <x:c r="D151" s="23" t="str">
        <x:v>Official/current mouse symbol or accepted accession-like symbol</x:v>
      </x:c>
      <x:c r="E151" s="23" t="str">
        <x:v>PLBD1</x:v>
      </x:c>
      <x:c r="F151" s="23" t="str">
        <x:v>Conserved symbol; human ortholog</x:v>
      </x:c>
      <x:c r="G151" s="23" t="str">
        <x:v>https://www.informatics.jax.org/quicksearch/summary?queryType=exactPhrase&amp;query=Plbd1</x:v>
      </x:c>
      <x:c r="H151" s="23" t="str">
        <x:v>https://www.ncbi.nlm.nih.gov/gene/?term=Plbd1%5Bgene%5D%20AND%20Mus%20musculus%5Borgn%5D</x:v>
      </x:c>
    </x:row>
    <x:row r="152">
      <x:c r="A152" s="22" t="n">
        <x:v>149</x:v>
      </x:c>
      <x:c r="B152" s="23" t="str">
        <x:v>Plcb2</x:v>
      </x:c>
      <x:c r="C152" s="23" t="str">
        <x:v>Mus musculus</x:v>
      </x:c>
      <x:c r="D152" s="23" t="str">
        <x:v>Official/current mouse symbol or accepted accession-like symbol</x:v>
      </x:c>
      <x:c r="E152" s="23" t="str">
        <x:v>PLCB2</x:v>
      </x:c>
      <x:c r="F152" s="23" t="str">
        <x:v>Conserved symbol; human ortholog</x:v>
      </x:c>
      <x:c r="G152" s="23" t="str">
        <x:v>https://www.informatics.jax.org/quicksearch/summary?queryType=exactPhrase&amp;query=Plcb2</x:v>
      </x:c>
      <x:c r="H152" s="23" t="str">
        <x:v>https://www.ncbi.nlm.nih.gov/gene/?term=Plcb2%5Bgene%5D%20AND%20Mus%20musculus%5Borgn%5D</x:v>
      </x:c>
    </x:row>
    <x:row r="153">
      <x:c r="A153" s="22" t="n">
        <x:v>150</x:v>
      </x:c>
      <x:c r="B153" s="23" t="str">
        <x:v>Pld4</x:v>
      </x:c>
      <x:c r="C153" s="23" t="str">
        <x:v>Mus musculus</x:v>
      </x:c>
      <x:c r="D153" s="23" t="str">
        <x:v>Official/current mouse symbol or accepted accession-like symbol</x:v>
      </x:c>
      <x:c r="E153" s="23" t="str">
        <x:v>PLD4</x:v>
      </x:c>
      <x:c r="F153" s="23" t="str">
        <x:v>Conserved symbol; human ortholog</x:v>
      </x:c>
      <x:c r="G153" s="23" t="str">
        <x:v>https://www.informatics.jax.org/quicksearch/summary?queryType=exactPhrase&amp;query=Pld4</x:v>
      </x:c>
      <x:c r="H153" s="23" t="str">
        <x:v>https://www.ncbi.nlm.nih.gov/gene/?term=Pld4%5Bgene%5D%20AND%20Mus%20musculus%5Borgn%5D</x:v>
      </x:c>
    </x:row>
    <x:row r="154">
      <x:c r="A154" s="22" t="n">
        <x:v>151</x:v>
      </x:c>
      <x:c r="B154" s="23" t="str">
        <x:v>Prex1</x:v>
      </x:c>
      <x:c r="C154" s="23" t="str">
        <x:v>Mus musculus</x:v>
      </x:c>
      <x:c r="D154" s="23" t="str">
        <x:v>Official/current mouse symbol or accepted accession-like symbol</x:v>
      </x:c>
      <x:c r="E154" s="23" t="str">
        <x:v>PREX1</x:v>
      </x:c>
      <x:c r="F154" s="23" t="str">
        <x:v>Conserved symbol; human ortholog</x:v>
      </x:c>
      <x:c r="G154" s="23" t="str">
        <x:v>https://www.informatics.jax.org/quicksearch/summary?queryType=exactPhrase&amp;query=Prex1</x:v>
      </x:c>
      <x:c r="H154" s="23" t="str">
        <x:v>https://www.ncbi.nlm.nih.gov/gene/?term=Prex1%5Bgene%5D%20AND%20Mus%20musculus%5Borgn%5D</x:v>
      </x:c>
    </x:row>
    <x:row r="155">
      <x:c r="A155" s="22" t="n">
        <x:v>152</x:v>
      </x:c>
      <x:c r="B155" s="23" t="str">
        <x:v>Prkcd</x:v>
      </x:c>
      <x:c r="C155" s="23" t="str">
        <x:v>Mus musculus</x:v>
      </x:c>
      <x:c r="D155" s="23" t="str">
        <x:v>Official/current mouse symbol or accepted accession-like symbol</x:v>
      </x:c>
      <x:c r="E155" s="23" t="str">
        <x:v>PRKCD</x:v>
      </x:c>
      <x:c r="F155" s="23" t="str">
        <x:v>Conserved symbol; human ortholog</x:v>
      </x:c>
      <x:c r="G155" s="23" t="str">
        <x:v>https://www.informatics.jax.org/quicksearch/summary?queryType=exactPhrase&amp;query=Prkcd</x:v>
      </x:c>
      <x:c r="H155" s="23" t="str">
        <x:v>https://www.ncbi.nlm.nih.gov/gene/?term=Prkcd%5Bgene%5D%20AND%20Mus%20musculus%5Borgn%5D</x:v>
      </x:c>
    </x:row>
    <x:row r="156">
      <x:c r="A156" s="22" t="n">
        <x:v>153</x:v>
      </x:c>
      <x:c r="B156" s="23" t="str">
        <x:v>Psap</x:v>
      </x:c>
      <x:c r="C156" s="23" t="str">
        <x:v>Mus musculus</x:v>
      </x:c>
      <x:c r="D156" s="23" t="str">
        <x:v>Official/current mouse symbol or accepted accession-like symbol</x:v>
      </x:c>
      <x:c r="E156" s="23" t="str">
        <x:v>PSAP</x:v>
      </x:c>
      <x:c r="F156" s="23" t="str">
        <x:v>Conserved symbol; human ortholog</x:v>
      </x:c>
      <x:c r="G156" s="23" t="str">
        <x:v>https://www.informatics.jax.org/quicksearch/summary?queryType=exactPhrase&amp;query=Psap</x:v>
      </x:c>
      <x:c r="H156" s="23" t="str">
        <x:v>https://www.ncbi.nlm.nih.gov/gene/?term=Psap%5Bgene%5D%20AND%20Mus%20musculus%5Borgn%5D</x:v>
      </x:c>
    </x:row>
    <x:row r="157">
      <x:c r="A157" s="22" t="n">
        <x:v>154</x:v>
      </x:c>
      <x:c r="B157" s="23" t="str">
        <x:v>Psmb10</x:v>
      </x:c>
      <x:c r="C157" s="23" t="str">
        <x:v>Mus musculus</x:v>
      </x:c>
      <x:c r="D157" s="23" t="str">
        <x:v>Official/current mouse symbol or accepted accession-like symbol</x:v>
      </x:c>
      <x:c r="E157" s="23" t="str">
        <x:v>PSMB10</x:v>
      </x:c>
      <x:c r="F157" s="23" t="str">
        <x:v>Conserved symbol; human ortholog</x:v>
      </x:c>
      <x:c r="G157" s="23" t="str">
        <x:v>https://www.informatics.jax.org/quicksearch/summary?queryType=exactPhrase&amp;query=Psmb10</x:v>
      </x:c>
      <x:c r="H157" s="23" t="str">
        <x:v>https://www.ncbi.nlm.nih.gov/gene/?term=Psmb10%5Bgene%5D%20AND%20Mus%20musculus%5Borgn%5D</x:v>
      </x:c>
    </x:row>
    <x:row r="158">
      <x:c r="A158" s="22" t="n">
        <x:v>155</x:v>
      </x:c>
      <x:c r="B158" s="23" t="str">
        <x:v>Psmb8</x:v>
      </x:c>
      <x:c r="C158" s="23" t="str">
        <x:v>Mus musculus</x:v>
      </x:c>
      <x:c r="D158" s="23" t="str">
        <x:v>Official/current mouse symbol or accepted accession-like symbol</x:v>
      </x:c>
      <x:c r="E158" s="23" t="str">
        <x:v>PSMB8</x:v>
      </x:c>
      <x:c r="F158" s="23" t="str">
        <x:v>Conserved symbol; human ortholog</x:v>
      </x:c>
      <x:c r="G158" s="23" t="str">
        <x:v>https://www.informatics.jax.org/quicksearch/summary?queryType=exactPhrase&amp;query=Psmb8</x:v>
      </x:c>
      <x:c r="H158" s="23" t="str">
        <x:v>https://www.ncbi.nlm.nih.gov/gene/?term=Psmb8%5Bgene%5D%20AND%20Mus%20musculus%5Borgn%5D</x:v>
      </x:c>
    </x:row>
    <x:row r="159">
      <x:c r="A159" s="22" t="n">
        <x:v>156</x:v>
      </x:c>
      <x:c r="B159" s="23" t="str">
        <x:v>Psmb9</x:v>
      </x:c>
      <x:c r="C159" s="23" t="str">
        <x:v>Mus musculus</x:v>
      </x:c>
      <x:c r="D159" s="23" t="str">
        <x:v>Official/current mouse symbol or accepted accession-like symbol</x:v>
      </x:c>
      <x:c r="E159" s="23" t="str">
        <x:v>PSMB9</x:v>
      </x:c>
      <x:c r="F159" s="23" t="str">
        <x:v>Conserved symbol; human ortholog</x:v>
      </x:c>
      <x:c r="G159" s="23" t="str">
        <x:v>https://www.informatics.jax.org/quicksearch/summary?queryType=exactPhrase&amp;query=Psmb9</x:v>
      </x:c>
      <x:c r="H159" s="23" t="str">
        <x:v>https://www.ncbi.nlm.nih.gov/gene/?term=Psmb9%5Bgene%5D%20AND%20Mus%20musculus%5Borgn%5D</x:v>
      </x:c>
    </x:row>
    <x:row r="160">
      <x:c r="A160" s="22" t="n">
        <x:v>157</x:v>
      </x:c>
      <x:c r="B160" s="23" t="str">
        <x:v>Psmc3</x:v>
      </x:c>
      <x:c r="C160" s="23" t="str">
        <x:v>Mus musculus</x:v>
      </x:c>
      <x:c r="D160" s="23" t="str">
        <x:v>Official/current mouse symbol or accepted accession-like symbol</x:v>
      </x:c>
      <x:c r="E160" s="23" t="str">
        <x:v>PSMC3</x:v>
      </x:c>
      <x:c r="F160" s="23" t="str">
        <x:v>Conserved symbol; human ortholog</x:v>
      </x:c>
      <x:c r="G160" s="23" t="str">
        <x:v>https://www.informatics.jax.org/quicksearch/summary?queryType=exactPhrase&amp;query=Psmc3</x:v>
      </x:c>
      <x:c r="H160" s="23" t="str">
        <x:v>https://www.ncbi.nlm.nih.gov/gene/?term=Psmc3%5Bgene%5D%20AND%20Mus%20musculus%5Borgn%5D</x:v>
      </x:c>
    </x:row>
    <x:row r="161">
      <x:c r="A161" s="22" t="n">
        <x:v>158</x:v>
      </x:c>
      <x:c r="B161" s="23" t="str">
        <x:v>Psme1</x:v>
      </x:c>
      <x:c r="C161" s="23" t="str">
        <x:v>Mus musculus</x:v>
      </x:c>
      <x:c r="D161" s="23" t="str">
        <x:v>Official/current mouse symbol or accepted accession-like symbol</x:v>
      </x:c>
      <x:c r="E161" s="23" t="str">
        <x:v>PSME1</x:v>
      </x:c>
      <x:c r="F161" s="23" t="str">
        <x:v>Conserved symbol; human ortholog</x:v>
      </x:c>
      <x:c r="G161" s="23" t="str">
        <x:v>https://www.informatics.jax.org/quicksearch/summary?queryType=exactPhrase&amp;query=Psme1</x:v>
      </x:c>
      <x:c r="H161" s="23" t="str">
        <x:v>https://www.ncbi.nlm.nih.gov/gene/?term=Psme1%5Bgene%5D%20AND%20Mus%20musculus%5Borgn%5D</x:v>
      </x:c>
    </x:row>
    <x:row r="162">
      <x:c r="A162" s="22" t="n">
        <x:v>159</x:v>
      </x:c>
      <x:c r="B162" s="23" t="str">
        <x:v>Ptafr</x:v>
      </x:c>
      <x:c r="C162" s="23" t="str">
        <x:v>Mus musculus</x:v>
      </x:c>
      <x:c r="D162" s="23" t="str">
        <x:v>Official/current mouse symbol or accepted accession-like symbol</x:v>
      </x:c>
      <x:c r="E162" s="23" t="str">
        <x:v>PTAFR</x:v>
      </x:c>
      <x:c r="F162" s="23" t="str">
        <x:v>Conserved symbol; human ortholog</x:v>
      </x:c>
      <x:c r="G162" s="23" t="str">
        <x:v>https://www.informatics.jax.org/quicksearch/summary?queryType=exactPhrase&amp;query=Ptafr</x:v>
      </x:c>
      <x:c r="H162" s="23" t="str">
        <x:v>https://www.ncbi.nlm.nih.gov/gene/?term=Ptafr%5Bgene%5D%20AND%20Mus%20musculus%5Borgn%5D</x:v>
      </x:c>
    </x:row>
    <x:row r="163">
      <x:c r="A163" s="22" t="n">
        <x:v>160</x:v>
      </x:c>
      <x:c r="B163" s="23" t="str">
        <x:v>Ptger4</x:v>
      </x:c>
      <x:c r="C163" s="23" t="str">
        <x:v>Mus musculus</x:v>
      </x:c>
      <x:c r="D163" s="23" t="str">
        <x:v>Official/current mouse symbol or accepted accession-like symbol</x:v>
      </x:c>
      <x:c r="E163" s="23" t="str">
        <x:v>PTGER4</x:v>
      </x:c>
      <x:c r="F163" s="23" t="str">
        <x:v>Conserved symbol; human ortholog</x:v>
      </x:c>
      <x:c r="G163" s="23" t="str">
        <x:v>https://www.informatics.jax.org/quicksearch/summary?queryType=exactPhrase&amp;query=Ptger4</x:v>
      </x:c>
      <x:c r="H163" s="23" t="str">
        <x:v>https://www.ncbi.nlm.nih.gov/gene/?term=Ptger4%5Bgene%5D%20AND%20Mus%20musculus%5Borgn%5D</x:v>
      </x:c>
    </x:row>
    <x:row r="164">
      <x:c r="A164" s="22" t="n">
        <x:v>161</x:v>
      </x:c>
      <x:c r="B164" s="23" t="str">
        <x:v>Ptpn6</x:v>
      </x:c>
      <x:c r="C164" s="23" t="str">
        <x:v>Mus musculus</x:v>
      </x:c>
      <x:c r="D164" s="23" t="str">
        <x:v>Official/current mouse symbol or accepted accession-like symbol</x:v>
      </x:c>
      <x:c r="E164" s="23" t="str">
        <x:v>PTPN6</x:v>
      </x:c>
      <x:c r="F164" s="23" t="str">
        <x:v>Conserved symbol; human ortholog</x:v>
      </x:c>
      <x:c r="G164" s="23" t="str">
        <x:v>https://www.informatics.jax.org/quicksearch/summary?queryType=exactPhrase&amp;query=Ptpn6</x:v>
      </x:c>
      <x:c r="H164" s="23" t="str">
        <x:v>https://www.ncbi.nlm.nih.gov/gene/?term=Ptpn6%5Bgene%5D%20AND%20Mus%20musculus%5Borgn%5D</x:v>
      </x:c>
    </x:row>
    <x:row r="165">
      <x:c r="A165" s="22" t="n">
        <x:v>162</x:v>
      </x:c>
      <x:c r="B165" s="23" t="str">
        <x:v>Ptprf</x:v>
      </x:c>
      <x:c r="C165" s="23" t="str">
        <x:v>Mus musculus</x:v>
      </x:c>
      <x:c r="D165" s="23" t="str">
        <x:v>Official/current mouse symbol or accepted accession-like symbol</x:v>
      </x:c>
      <x:c r="E165" s="23" t="str">
        <x:v>PTPRF</x:v>
      </x:c>
      <x:c r="F165" s="23" t="str">
        <x:v>Conserved symbol; human ortholog</x:v>
      </x:c>
      <x:c r="G165" s="23" t="str">
        <x:v>https://www.informatics.jax.org/quicksearch/summary?queryType=exactPhrase&amp;query=Ptprf</x:v>
      </x:c>
      <x:c r="H165" s="23" t="str">
        <x:v>https://www.ncbi.nlm.nih.gov/gene/?term=Ptprf%5Bgene%5D%20AND%20Mus%20musculus%5Borgn%5D</x:v>
      </x:c>
    </x:row>
    <x:row r="166">
      <x:c r="A166" s="22" t="n">
        <x:v>163</x:v>
      </x:c>
      <x:c r="B166" s="23" t="str">
        <x:v>Rac2</x:v>
      </x:c>
      <x:c r="C166" s="23" t="str">
        <x:v>Mus musculus</x:v>
      </x:c>
      <x:c r="D166" s="23" t="str">
        <x:v>Official/current mouse symbol or accepted accession-like symbol</x:v>
      </x:c>
      <x:c r="E166" s="23" t="str">
        <x:v>RAC2</x:v>
      </x:c>
      <x:c r="F166" s="23" t="str">
        <x:v>Conserved symbol; human ortholog</x:v>
      </x:c>
      <x:c r="G166" s="23" t="str">
        <x:v>https://www.informatics.jax.org/quicksearch/summary?queryType=exactPhrase&amp;query=Rac2</x:v>
      </x:c>
      <x:c r="H166" s="23" t="str">
        <x:v>https://www.ncbi.nlm.nih.gov/gene/?term=Rac2%5Bgene%5D%20AND%20Mus%20musculus%5Borgn%5D</x:v>
      </x:c>
    </x:row>
    <x:row r="167">
      <x:c r="A167" s="22" t="n">
        <x:v>164</x:v>
      </x:c>
      <x:c r="B167" s="23" t="str">
        <x:v>Rasal3</x:v>
      </x:c>
      <x:c r="C167" s="23" t="str">
        <x:v>Mus musculus</x:v>
      </x:c>
      <x:c r="D167" s="23" t="str">
        <x:v>Official/current mouse symbol or accepted accession-like symbol</x:v>
      </x:c>
      <x:c r="E167" s="23" t="str">
        <x:v>RASAL3</x:v>
      </x:c>
      <x:c r="F167" s="23" t="str">
        <x:v>Conserved symbol; human ortholog</x:v>
      </x:c>
      <x:c r="G167" s="23" t="str">
        <x:v>https://www.informatics.jax.org/quicksearch/summary?queryType=exactPhrase&amp;query=Rasal3</x:v>
      </x:c>
      <x:c r="H167" s="23" t="str">
        <x:v>https://www.ncbi.nlm.nih.gov/gene/?term=Rasal3%5Bgene%5D%20AND%20Mus%20musculus%5Borgn%5D</x:v>
      </x:c>
    </x:row>
    <x:row r="168">
      <x:c r="A168" s="22" t="n">
        <x:v>165</x:v>
      </x:c>
      <x:c r="B168" s="23" t="str">
        <x:v>Rcsd1</x:v>
      </x:c>
      <x:c r="C168" s="23" t="str">
        <x:v>Mus musculus</x:v>
      </x:c>
      <x:c r="D168" s="23" t="str">
        <x:v>Official/current mouse symbol or accepted accession-like symbol</x:v>
      </x:c>
      <x:c r="E168" s="23" t="str">
        <x:v>RCSD1</x:v>
      </x:c>
      <x:c r="F168" s="23" t="str">
        <x:v>Conserved symbol; human ortholog</x:v>
      </x:c>
      <x:c r="G168" s="23" t="str">
        <x:v>https://www.informatics.jax.org/quicksearch/summary?queryType=exactPhrase&amp;query=Rcsd1</x:v>
      </x:c>
      <x:c r="H168" s="23" t="str">
        <x:v>https://www.ncbi.nlm.nih.gov/gene/?term=Rcsd1%5Bgene%5D%20AND%20Mus%20musculus%5Borgn%5D</x:v>
      </x:c>
    </x:row>
    <x:row r="169">
      <x:c r="A169" s="22" t="n">
        <x:v>166</x:v>
      </x:c>
      <x:c r="B169" s="23" t="str">
        <x:v>Rest</x:v>
      </x:c>
      <x:c r="C169" s="23" t="str">
        <x:v>Mus musculus</x:v>
      </x:c>
      <x:c r="D169" s="23" t="str">
        <x:v>Official/current mouse symbol or accepted accession-like symbol</x:v>
      </x:c>
      <x:c r="E169" s="23" t="str">
        <x:v>REST</x:v>
      </x:c>
      <x:c r="F169" s="23" t="str">
        <x:v>Conserved symbol; human ortholog</x:v>
      </x:c>
      <x:c r="G169" s="23" t="str">
        <x:v>https://www.informatics.jax.org/quicksearch/summary?queryType=exactPhrase&amp;query=Rest</x:v>
      </x:c>
      <x:c r="H169" s="23" t="str">
        <x:v>https://www.ncbi.nlm.nih.gov/gene/?term=Rest%5Bgene%5D%20AND%20Mus%20musculus%5Borgn%5D</x:v>
      </x:c>
    </x:row>
    <x:row r="170">
      <x:c r="A170" s="22" t="n">
        <x:v>167</x:v>
      </x:c>
      <x:c r="B170" s="23" t="str">
        <x:v>Retnlg</x:v>
      </x:c>
      <x:c r="C170" s="23" t="str">
        <x:v>Mus musculus</x:v>
      </x:c>
      <x:c r="D170" s="23" t="str">
        <x:v>Official/current mouse symbol or accepted accession-like symbol</x:v>
      </x:c>
      <x:c r="E170" s="23" t="str">
        <x:v>RETN (family analog)</x:v>
      </x:c>
      <x:c r="F170" s="23" t="str">
        <x:v>Mouse resistin-like paralog; no strict one-to-one mapping</x:v>
      </x:c>
      <x:c r="G170" s="23" t="str">
        <x:v>https://www.informatics.jax.org/quicksearch/summary?queryType=exactPhrase&amp;query=Retnlg</x:v>
      </x:c>
      <x:c r="H170" s="23" t="str">
        <x:v>https://www.ncbi.nlm.nih.gov/gene/?term=Retnlg%5Bgene%5D%20AND%20Mus%20musculus%5Borgn%5D</x:v>
      </x:c>
    </x:row>
    <x:row r="171">
      <x:c r="A171" s="22" t="n">
        <x:v>168</x:v>
      </x:c>
      <x:c r="B171" s="23" t="str">
        <x:v>Rgs1</x:v>
      </x:c>
      <x:c r="C171" s="23" t="str">
        <x:v>Mus musculus</x:v>
      </x:c>
      <x:c r="D171" s="23" t="str">
        <x:v>Official/current mouse symbol or accepted accession-like symbol</x:v>
      </x:c>
      <x:c r="E171" s="23" t="str">
        <x:v>RGS1</x:v>
      </x:c>
      <x:c r="F171" s="23" t="str">
        <x:v>Conserved symbol; human ortholog</x:v>
      </x:c>
      <x:c r="G171" s="23" t="str">
        <x:v>https://www.informatics.jax.org/quicksearch/summary?queryType=exactPhrase&amp;query=Rgs1</x:v>
      </x:c>
      <x:c r="H171" s="23" t="str">
        <x:v>https://www.ncbi.nlm.nih.gov/gene/?term=Rgs1%5Bgene%5D%20AND%20Mus%20musculus%5Borgn%5D</x:v>
      </x:c>
    </x:row>
    <x:row r="172">
      <x:c r="A172" s="22" t="n">
        <x:v>169</x:v>
      </x:c>
      <x:c r="B172" s="23" t="str">
        <x:v>Rhoh</x:v>
      </x:c>
      <x:c r="C172" s="23" t="str">
        <x:v>Mus musculus</x:v>
      </x:c>
      <x:c r="D172" s="23" t="str">
        <x:v>Official/current mouse symbol or accepted accession-like symbol</x:v>
      </x:c>
      <x:c r="E172" s="23" t="str">
        <x:v>RHOH</x:v>
      </x:c>
      <x:c r="F172" s="23" t="str">
        <x:v>Conserved symbol; human ortholog</x:v>
      </x:c>
      <x:c r="G172" s="23" t="str">
        <x:v>https://www.informatics.jax.org/quicksearch/summary?queryType=exactPhrase&amp;query=Rhoh</x:v>
      </x:c>
      <x:c r="H172" s="23" t="str">
        <x:v>https://www.ncbi.nlm.nih.gov/gene/?term=Rhoh%5Bgene%5D%20AND%20Mus%20musculus%5Borgn%5D</x:v>
      </x:c>
    </x:row>
    <x:row r="173">
      <x:c r="A173" s="22" t="n">
        <x:v>170</x:v>
      </x:c>
      <x:c r="B173" s="23" t="str">
        <x:v>Rin3</x:v>
      </x:c>
      <x:c r="C173" s="23" t="str">
        <x:v>Mus musculus</x:v>
      </x:c>
      <x:c r="D173" s="23" t="str">
        <x:v>Official/current mouse symbol or accepted accession-like symbol</x:v>
      </x:c>
      <x:c r="E173" s="23" t="str">
        <x:v>RIN3</x:v>
      </x:c>
      <x:c r="F173" s="23" t="str">
        <x:v>Conserved symbol; human ortholog</x:v>
      </x:c>
      <x:c r="G173" s="23" t="str">
        <x:v>https://www.informatics.jax.org/quicksearch/summary?queryType=exactPhrase&amp;query=Rin3</x:v>
      </x:c>
      <x:c r="H173" s="23" t="str">
        <x:v>https://www.ncbi.nlm.nih.gov/gene/?term=Rin3%5Bgene%5D%20AND%20Mus%20musculus%5Borgn%5D</x:v>
      </x:c>
    </x:row>
    <x:row r="174">
      <x:c r="A174" s="22" t="n">
        <x:v>171</x:v>
      </x:c>
      <x:c r="B174" s="23" t="str">
        <x:v>Rps6ka1</x:v>
      </x:c>
      <x:c r="C174" s="23" t="str">
        <x:v>Mus musculus</x:v>
      </x:c>
      <x:c r="D174" s="23" t="str">
        <x:v>Official/current mouse symbol or accepted accession-like symbol</x:v>
      </x:c>
      <x:c r="E174" s="23" t="str">
        <x:v>RPS6KA1</x:v>
      </x:c>
      <x:c r="F174" s="23" t="str">
        <x:v>Conserved symbol; human ortholog</x:v>
      </x:c>
      <x:c r="G174" s="23" t="str">
        <x:v>https://www.informatics.jax.org/quicksearch/summary?queryType=exactPhrase&amp;query=Rps6ka1</x:v>
      </x:c>
      <x:c r="H174" s="23" t="str">
        <x:v>https://www.ncbi.nlm.nih.gov/gene/?term=Rps6ka1%5Bgene%5D%20AND%20Mus%20musculus%5Borgn%5D</x:v>
      </x:c>
    </x:row>
    <x:row r="175">
      <x:c r="A175" s="22" t="n">
        <x:v>172</x:v>
      </x:c>
      <x:c r="B175" s="23" t="str">
        <x:v>Runx1</x:v>
      </x:c>
      <x:c r="C175" s="23" t="str">
        <x:v>Mus musculus</x:v>
      </x:c>
      <x:c r="D175" s="23" t="str">
        <x:v>Official/current mouse symbol or accepted accession-like symbol</x:v>
      </x:c>
      <x:c r="E175" s="23" t="str">
        <x:v>RUNX1</x:v>
      </x:c>
      <x:c r="F175" s="23" t="str">
        <x:v>Conserved symbol; human ortholog</x:v>
      </x:c>
      <x:c r="G175" s="23" t="str">
        <x:v>https://www.informatics.jax.org/quicksearch/summary?queryType=exactPhrase&amp;query=Runx1</x:v>
      </x:c>
      <x:c r="H175" s="23" t="str">
        <x:v>https://www.ncbi.nlm.nih.gov/gene/?term=Runx1%5Bgene%5D%20AND%20Mus%20musculus%5Borgn%5D</x:v>
      </x:c>
    </x:row>
    <x:row r="176">
      <x:c r="A176" s="22" t="n">
        <x:v>173</x:v>
      </x:c>
      <x:c r="B176" s="23" t="str">
        <x:v>Rxfp3</x:v>
      </x:c>
      <x:c r="C176" s="23" t="str">
        <x:v>Mus musculus</x:v>
      </x:c>
      <x:c r="D176" s="23" t="str">
        <x:v>Official/current mouse symbol or accepted accession-like symbol</x:v>
      </x:c>
      <x:c r="E176" s="23" t="str">
        <x:v>RXFP3</x:v>
      </x:c>
      <x:c r="F176" s="23" t="str">
        <x:v>Conserved symbol; human ortholog</x:v>
      </x:c>
      <x:c r="G176" s="23" t="str">
        <x:v>https://www.informatics.jax.org/quicksearch/summary?queryType=exactPhrase&amp;query=Rxfp3</x:v>
      </x:c>
      <x:c r="H176" s="23" t="str">
        <x:v>https://www.ncbi.nlm.nih.gov/gene/?term=Rxfp3%5Bgene%5D%20AND%20Mus%20musculus%5Borgn%5D</x:v>
      </x:c>
    </x:row>
    <x:row r="177">
      <x:c r="A177" s="22" t="n">
        <x:v>174</x:v>
      </x:c>
      <x:c r="B177" s="23" t="str">
        <x:v>S100a8</x:v>
      </x:c>
      <x:c r="C177" s="23" t="str">
        <x:v>Mus musculus</x:v>
      </x:c>
      <x:c r="D177" s="23" t="str">
        <x:v>Official/current mouse symbol or accepted accession-like symbol</x:v>
      </x:c>
      <x:c r="E177" s="23" t="str">
        <x:v>S100A8</x:v>
      </x:c>
      <x:c r="F177" s="23" t="str">
        <x:v>Conserved symbol; human ortholog</x:v>
      </x:c>
      <x:c r="G177" s="23" t="str">
        <x:v>https://www.informatics.jax.org/quicksearch/summary?queryType=exactPhrase&amp;query=S100a8</x:v>
      </x:c>
      <x:c r="H177" s="23" t="str">
        <x:v>https://www.ncbi.nlm.nih.gov/gene/?term=S100a8%5Bgene%5D%20AND%20Mus%20musculus%5Borgn%5D</x:v>
      </x:c>
    </x:row>
    <x:row r="178">
      <x:c r="A178" s="22" t="n">
        <x:v>175</x:v>
      </x:c>
      <x:c r="B178" s="23" t="str">
        <x:v>S100a9</x:v>
      </x:c>
      <x:c r="C178" s="23" t="str">
        <x:v>Mus musculus</x:v>
      </x:c>
      <x:c r="D178" s="23" t="str">
        <x:v>Official/current mouse symbol or accepted accession-like symbol</x:v>
      </x:c>
      <x:c r="E178" s="23" t="str">
        <x:v>S100A9</x:v>
      </x:c>
      <x:c r="F178" s="23" t="str">
        <x:v>Conserved symbol; human ortholog</x:v>
      </x:c>
      <x:c r="G178" s="23" t="str">
        <x:v>https://www.informatics.jax.org/quicksearch/summary?queryType=exactPhrase&amp;query=S100a9</x:v>
      </x:c>
      <x:c r="H178" s="23" t="str">
        <x:v>https://www.ncbi.nlm.nih.gov/gene/?term=S100a9%5Bgene%5D%20AND%20Mus%20musculus%5Borgn%5D</x:v>
      </x:c>
    </x:row>
    <x:row r="179">
      <x:c r="A179" s="22" t="n">
        <x:v>176</x:v>
      </x:c>
      <x:c r="B179" s="23" t="str">
        <x:v>Selplg</x:v>
      </x:c>
      <x:c r="C179" s="23" t="str">
        <x:v>Mus musculus</x:v>
      </x:c>
      <x:c r="D179" s="23" t="str">
        <x:v>Official/current mouse symbol or accepted accession-like symbol</x:v>
      </x:c>
      <x:c r="E179" s="23" t="str">
        <x:v>SELPLG</x:v>
      </x:c>
      <x:c r="F179" s="23" t="str">
        <x:v>Conserved symbol; human ortholog</x:v>
      </x:c>
      <x:c r="G179" s="23" t="str">
        <x:v>https://www.informatics.jax.org/quicksearch/summary?queryType=exactPhrase&amp;query=Selplg</x:v>
      </x:c>
      <x:c r="H179" s="23" t="str">
        <x:v>https://www.ncbi.nlm.nih.gov/gene/?term=Selplg%5Bgene%5D%20AND%20Mus%20musculus%5Borgn%5D</x:v>
      </x:c>
    </x:row>
    <x:row r="180">
      <x:c r="A180" s="22" t="n">
        <x:v>177</x:v>
      </x:c>
      <x:c r="B180" s="23" t="str">
        <x:v>Serpine2</x:v>
      </x:c>
      <x:c r="C180" s="23" t="str">
        <x:v>Mus musculus</x:v>
      </x:c>
      <x:c r="D180" s="23" t="str">
        <x:v>Official/current mouse symbol or accepted accession-like symbol</x:v>
      </x:c>
      <x:c r="E180" s="23" t="str">
        <x:v>SERPINE2</x:v>
      </x:c>
      <x:c r="F180" s="23" t="str">
        <x:v>Conserved symbol; human ortholog</x:v>
      </x:c>
      <x:c r="G180" s="23" t="str">
        <x:v>https://www.informatics.jax.org/quicksearch/summary?queryType=exactPhrase&amp;query=Serpine2</x:v>
      </x:c>
      <x:c r="H180" s="23" t="str">
        <x:v>https://www.ncbi.nlm.nih.gov/gene/?term=Serpine2%5Bgene%5D%20AND%20Mus%20musculus%5Borgn%5D</x:v>
      </x:c>
    </x:row>
    <x:row r="181">
      <x:c r="A181" s="22" t="n">
        <x:v>178</x:v>
      </x:c>
      <x:c r="B181" s="23" t="str">
        <x:v>Siglec1</x:v>
      </x:c>
      <x:c r="C181" s="23" t="str">
        <x:v>Mus musculus</x:v>
      </x:c>
      <x:c r="D181" s="23" t="str">
        <x:v>Official/current mouse symbol or accepted accession-like symbol</x:v>
      </x:c>
      <x:c r="E181" s="23" t="str">
        <x:v>SIGLEC1</x:v>
      </x:c>
      <x:c r="F181" s="23" t="str">
        <x:v>Conserved symbol; human ortholog</x:v>
      </x:c>
      <x:c r="G181" s="23" t="str">
        <x:v>https://www.informatics.jax.org/quicksearch/summary?queryType=exactPhrase&amp;query=Siglec1</x:v>
      </x:c>
      <x:c r="H181" s="23" t="str">
        <x:v>https://www.ncbi.nlm.nih.gov/gene/?term=Siglec1%5Bgene%5D%20AND%20Mus%20musculus%5Borgn%5D</x:v>
      </x:c>
    </x:row>
    <x:row r="182">
      <x:c r="A182" s="22" t="n">
        <x:v>179</x:v>
      </x:c>
      <x:c r="B182" s="23" t="str">
        <x:v>Sla</x:v>
      </x:c>
      <x:c r="C182" s="23" t="str">
        <x:v>Mus musculus</x:v>
      </x:c>
      <x:c r="D182" s="23" t="str">
        <x:v>Official/current mouse symbol or accepted accession-like symbol</x:v>
      </x:c>
      <x:c r="E182" s="23" t="str">
        <x:v>SLA</x:v>
      </x:c>
      <x:c r="F182" s="23" t="str">
        <x:v>Conserved symbol; human ortholog</x:v>
      </x:c>
      <x:c r="G182" s="23" t="str">
        <x:v>https://www.informatics.jax.org/quicksearch/summary?queryType=exactPhrase&amp;query=Sla</x:v>
      </x:c>
      <x:c r="H182" s="23" t="str">
        <x:v>https://www.ncbi.nlm.nih.gov/gene/?term=Sla%5Bgene%5D%20AND%20Mus%20musculus%5Borgn%5D</x:v>
      </x:c>
    </x:row>
    <x:row r="183">
      <x:c r="A183" s="22" t="n">
        <x:v>180</x:v>
      </x:c>
      <x:c r="B183" s="23" t="str">
        <x:v>Slc15a3</x:v>
      </x:c>
      <x:c r="C183" s="23" t="str">
        <x:v>Mus musculus</x:v>
      </x:c>
      <x:c r="D183" s="23" t="str">
        <x:v>Official/current mouse symbol or accepted accession-like symbol</x:v>
      </x:c>
      <x:c r="E183" s="23" t="str">
        <x:v>SLC15A3</x:v>
      </x:c>
      <x:c r="F183" s="23" t="str">
        <x:v>Conserved symbol; human ortholog</x:v>
      </x:c>
      <x:c r="G183" s="23" t="str">
        <x:v>https://www.informatics.jax.org/quicksearch/summary?queryType=exactPhrase&amp;query=Slc15a3</x:v>
      </x:c>
      <x:c r="H183" s="23" t="str">
        <x:v>https://www.ncbi.nlm.nih.gov/gene/?term=Slc15a3%5Bgene%5D%20AND%20Mus%20musculus%5Borgn%5D</x:v>
      </x:c>
    </x:row>
    <x:row r="184">
      <x:c r="A184" s="22" t="n">
        <x:v>181</x:v>
      </x:c>
      <x:c r="B184" s="23" t="str">
        <x:v>Slco2b1</x:v>
      </x:c>
      <x:c r="C184" s="23" t="str">
        <x:v>Mus musculus</x:v>
      </x:c>
      <x:c r="D184" s="23" t="str">
        <x:v>Official/current mouse symbol or accepted accession-like symbol</x:v>
      </x:c>
      <x:c r="E184" s="23" t="str">
        <x:v>SLCO2B1</x:v>
      </x:c>
      <x:c r="F184" s="23" t="str">
        <x:v>Conserved symbol; human ortholog</x:v>
      </x:c>
      <x:c r="G184" s="23" t="str">
        <x:v>https://www.informatics.jax.org/quicksearch/summary?queryType=exactPhrase&amp;query=Slco2b1</x:v>
      </x:c>
      <x:c r="H184" s="23" t="str">
        <x:v>https://www.ncbi.nlm.nih.gov/gene/?term=Slco2b1%5Bgene%5D%20AND%20Mus%20musculus%5Borgn%5D</x:v>
      </x:c>
    </x:row>
    <x:row r="185">
      <x:c r="A185" s="22" t="n">
        <x:v>182</x:v>
      </x:c>
      <x:c r="B185" s="23" t="str">
        <x:v>Slfn4</x:v>
      </x:c>
      <x:c r="C185" s="23" t="str">
        <x:v>Mus musculus</x:v>
      </x:c>
      <x:c r="D185" s="23" t="str">
        <x:v>Official/current mouse symbol or accepted accession-like symbol</x:v>
      </x:c>
      <x:c r="E185" s="23" t="str">
        <x:v>SLFN12/SLFN12L (family analogs)</x:v>
      </x:c>
      <x:c r="F185" s="23" t="str">
        <x:v>Schlafen-family mapping; no strict one-to-one ortholog</x:v>
      </x:c>
      <x:c r="G185" s="23" t="str">
        <x:v>https://www.informatics.jax.org/quicksearch/summary?queryType=exactPhrase&amp;query=Slfn4</x:v>
      </x:c>
      <x:c r="H185" s="23" t="str">
        <x:v>https://www.ncbi.nlm.nih.gov/gene/?term=Slfn4%5Bgene%5D%20AND%20Mus%20musculus%5Borgn%5D</x:v>
      </x:c>
    </x:row>
    <x:row r="186">
      <x:c r="A186" s="22" t="n">
        <x:v>183</x:v>
      </x:c>
      <x:c r="B186" s="23" t="str">
        <x:v>Slfn5</x:v>
      </x:c>
      <x:c r="C186" s="23" t="str">
        <x:v>Mus musculus</x:v>
      </x:c>
      <x:c r="D186" s="23" t="str">
        <x:v>Official/current mouse symbol or accepted accession-like symbol</x:v>
      </x:c>
      <x:c r="E186" s="23" t="str">
        <x:v>SLFN5</x:v>
      </x:c>
      <x:c r="F186" s="23" t="str">
        <x:v>Conserved symbol; human ortholog</x:v>
      </x:c>
      <x:c r="G186" s="23" t="str">
        <x:v>https://www.informatics.jax.org/quicksearch/summary?queryType=exactPhrase&amp;query=Slfn5</x:v>
      </x:c>
      <x:c r="H186" s="23" t="str">
        <x:v>https://www.ncbi.nlm.nih.gov/gene/?term=Slfn5%5Bgene%5D%20AND%20Mus%20musculus%5Borgn%5D</x:v>
      </x:c>
    </x:row>
    <x:row r="187">
      <x:c r="A187" s="22" t="n">
        <x:v>184</x:v>
      </x:c>
      <x:c r="B187" s="23" t="str">
        <x:v>Smim3</x:v>
      </x:c>
      <x:c r="C187" s="23" t="str">
        <x:v>Mus musculus</x:v>
      </x:c>
      <x:c r="D187" s="23" t="str">
        <x:v>Official/current mouse symbol or accepted accession-like symbol</x:v>
      </x:c>
      <x:c r="E187" s="23" t="str">
        <x:v>SMIM3</x:v>
      </x:c>
      <x:c r="F187" s="23" t="str">
        <x:v>Conserved symbol; human ortholog</x:v>
      </x:c>
      <x:c r="G187" s="23" t="str">
        <x:v>https://www.informatics.jax.org/quicksearch/summary?queryType=exactPhrase&amp;query=Smim3</x:v>
      </x:c>
      <x:c r="H187" s="23" t="str">
        <x:v>https://www.ncbi.nlm.nih.gov/gene/?term=Smim3%5Bgene%5D%20AND%20Mus%20musculus%5Borgn%5D</x:v>
      </x:c>
    </x:row>
    <x:row r="188">
      <x:c r="A188" s="22" t="n">
        <x:v>185</x:v>
      </x:c>
      <x:c r="B188" s="23" t="str">
        <x:v>Snrpd3</x:v>
      </x:c>
      <x:c r="C188" s="23" t="str">
        <x:v>Mus musculus</x:v>
      </x:c>
      <x:c r="D188" s="23" t="str">
        <x:v>Official/current mouse symbol or accepted accession-like symbol</x:v>
      </x:c>
      <x:c r="E188" s="23" t="str">
        <x:v>SNRPD3</x:v>
      </x:c>
      <x:c r="F188" s="23" t="str">
        <x:v>Conserved symbol; human ortholog</x:v>
      </x:c>
      <x:c r="G188" s="23" t="str">
        <x:v>https://www.informatics.jax.org/quicksearch/summary?queryType=exactPhrase&amp;query=Snrpd3</x:v>
      </x:c>
      <x:c r="H188" s="23" t="str">
        <x:v>https://www.ncbi.nlm.nih.gov/gene/?term=Snrpd3%5Bgene%5D%20AND%20Mus%20musculus%5Borgn%5D</x:v>
      </x:c>
    </x:row>
    <x:row r="189">
      <x:c r="A189" s="22" t="n">
        <x:v>186</x:v>
      </x:c>
      <x:c r="B189" s="23" t="str">
        <x:v>Socs3</x:v>
      </x:c>
      <x:c r="C189" s="23" t="str">
        <x:v>Mus musculus</x:v>
      </x:c>
      <x:c r="D189" s="23" t="str">
        <x:v>Official/current mouse symbol or accepted accession-like symbol</x:v>
      </x:c>
      <x:c r="E189" s="23" t="str">
        <x:v>SOCS3</x:v>
      </x:c>
      <x:c r="F189" s="23" t="str">
        <x:v>Conserved symbol; human ortholog</x:v>
      </x:c>
      <x:c r="G189" s="23" t="str">
        <x:v>https://www.informatics.jax.org/quicksearch/summary?queryType=exactPhrase&amp;query=Socs3</x:v>
      </x:c>
      <x:c r="H189" s="23" t="str">
        <x:v>https://www.ncbi.nlm.nih.gov/gene/?term=Socs3%5Bgene%5D%20AND%20Mus%20musculus%5Borgn%5D</x:v>
      </x:c>
    </x:row>
    <x:row r="190">
      <x:c r="A190" s="22" t="n">
        <x:v>187</x:v>
      </x:c>
      <x:c r="B190" s="23" t="str">
        <x:v>Sparcl1</x:v>
      </x:c>
      <x:c r="C190" s="23" t="str">
        <x:v>Mus musculus</x:v>
      </x:c>
      <x:c r="D190" s="23" t="str">
        <x:v>Official/current mouse symbol or accepted accession-like symbol</x:v>
      </x:c>
      <x:c r="E190" s="23" t="str">
        <x:v>SPARCL1</x:v>
      </x:c>
      <x:c r="F190" s="23" t="str">
        <x:v>Conserved symbol; human ortholog</x:v>
      </x:c>
      <x:c r="G190" s="23" t="str">
        <x:v>https://www.informatics.jax.org/quicksearch/summary?queryType=exactPhrase&amp;query=Sparcl1</x:v>
      </x:c>
      <x:c r="H190" s="23" t="str">
        <x:v>https://www.ncbi.nlm.nih.gov/gene/?term=Sparcl1%5Bgene%5D%20AND%20Mus%20musculus%5Borgn%5D</x:v>
      </x:c>
    </x:row>
    <x:row r="191">
      <x:c r="A191" s="22" t="n">
        <x:v>188</x:v>
      </x:c>
      <x:c r="B191" s="23" t="str">
        <x:v>Spi1</x:v>
      </x:c>
      <x:c r="C191" s="23" t="str">
        <x:v>Mus musculus</x:v>
      </x:c>
      <x:c r="D191" s="23" t="str">
        <x:v>Official/current mouse symbol or accepted accession-like symbol</x:v>
      </x:c>
      <x:c r="E191" s="23" t="str">
        <x:v>SPI1</x:v>
      </x:c>
      <x:c r="F191" s="23" t="str">
        <x:v>Conserved symbol; human ortholog</x:v>
      </x:c>
      <x:c r="G191" s="23" t="str">
        <x:v>https://www.informatics.jax.org/quicksearch/summary?queryType=exactPhrase&amp;query=Spi1</x:v>
      </x:c>
      <x:c r="H191" s="23" t="str">
        <x:v>https://www.ncbi.nlm.nih.gov/gene/?term=Spi1%5Bgene%5D%20AND%20Mus%20musculus%5Borgn%5D</x:v>
      </x:c>
    </x:row>
    <x:row r="192">
      <x:c r="A192" s="22" t="n">
        <x:v>189</x:v>
      </x:c>
      <x:c r="B192" s="23" t="str">
        <x:v>Spint1</x:v>
      </x:c>
      <x:c r="C192" s="23" t="str">
        <x:v>Mus musculus</x:v>
      </x:c>
      <x:c r="D192" s="23" t="str">
        <x:v>Official/current mouse symbol or accepted accession-like symbol</x:v>
      </x:c>
      <x:c r="E192" s="23" t="str">
        <x:v>SPINT1</x:v>
      </x:c>
      <x:c r="F192" s="23" t="str">
        <x:v>Conserved symbol; human ortholog</x:v>
      </x:c>
      <x:c r="G192" s="23" t="str">
        <x:v>https://www.informatics.jax.org/quicksearch/summary?queryType=exactPhrase&amp;query=Spint1</x:v>
      </x:c>
      <x:c r="H192" s="23" t="str">
        <x:v>https://www.ncbi.nlm.nih.gov/gene/?term=Spint1%5Bgene%5D%20AND%20Mus%20musculus%5Borgn%5D</x:v>
      </x:c>
    </x:row>
    <x:row r="193">
      <x:c r="A193" s="22" t="n">
        <x:v>190</x:v>
      </x:c>
      <x:c r="B193" s="23" t="str">
        <x:v>Srgn</x:v>
      </x:c>
      <x:c r="C193" s="23" t="str">
        <x:v>Mus musculus</x:v>
      </x:c>
      <x:c r="D193" s="23" t="str">
        <x:v>Official/current mouse symbol or accepted accession-like symbol</x:v>
      </x:c>
      <x:c r="E193" s="23" t="str">
        <x:v>SRGN</x:v>
      </x:c>
      <x:c r="F193" s="23" t="str">
        <x:v>Conserved symbol; human ortholog</x:v>
      </x:c>
      <x:c r="G193" s="23" t="str">
        <x:v>https://www.informatics.jax.org/quicksearch/summary?queryType=exactPhrase&amp;query=Srgn</x:v>
      </x:c>
      <x:c r="H193" s="23" t="str">
        <x:v>https://www.ncbi.nlm.nih.gov/gene/?term=Srgn%5Bgene%5D%20AND%20Mus%20musculus%5Borgn%5D</x:v>
      </x:c>
    </x:row>
    <x:row r="194">
      <x:c r="A194" s="22" t="n">
        <x:v>191</x:v>
      </x:c>
      <x:c r="B194" s="23" t="str">
        <x:v>Stat1</x:v>
      </x:c>
      <x:c r="C194" s="23" t="str">
        <x:v>Mus musculus</x:v>
      </x:c>
      <x:c r="D194" s="23" t="str">
        <x:v>Official/current mouse symbol or accepted accession-like symbol</x:v>
      </x:c>
      <x:c r="E194" s="23" t="str">
        <x:v>STAT1</x:v>
      </x:c>
      <x:c r="F194" s="23" t="str">
        <x:v>Conserved symbol; human ortholog</x:v>
      </x:c>
      <x:c r="G194" s="23" t="str">
        <x:v>https://www.informatics.jax.org/quicksearch/summary?queryType=exactPhrase&amp;query=Stat1</x:v>
      </x:c>
      <x:c r="H194" s="23" t="str">
        <x:v>https://www.ncbi.nlm.nih.gov/gene/?term=Stat1%5Bgene%5D%20AND%20Mus%20musculus%5Borgn%5D</x:v>
      </x:c>
    </x:row>
    <x:row r="195">
      <x:c r="A195" s="22" t="n">
        <x:v>192</x:v>
      </x:c>
      <x:c r="B195" s="23" t="str">
        <x:v>Syngr2</x:v>
      </x:c>
      <x:c r="C195" s="23" t="str">
        <x:v>Mus musculus</x:v>
      </x:c>
      <x:c r="D195" s="23" t="str">
        <x:v>Official/current mouse symbol or accepted accession-like symbol</x:v>
      </x:c>
      <x:c r="E195" s="23" t="str">
        <x:v>SYNGR2</x:v>
      </x:c>
      <x:c r="F195" s="23" t="str">
        <x:v>Conserved symbol; human ortholog</x:v>
      </x:c>
      <x:c r="G195" s="23" t="str">
        <x:v>https://www.informatics.jax.org/quicksearch/summary?queryType=exactPhrase&amp;query=Syngr2</x:v>
      </x:c>
      <x:c r="H195" s="23" t="str">
        <x:v>https://www.ncbi.nlm.nih.gov/gene/?term=Syngr2%5Bgene%5D%20AND%20Mus%20musculus%5Borgn%5D</x:v>
      </x:c>
    </x:row>
    <x:row r="196">
      <x:c r="A196" s="22" t="n">
        <x:v>193</x:v>
      </x:c>
      <x:c r="B196" s="23" t="str">
        <x:v>Tbc1d13</x:v>
      </x:c>
      <x:c r="C196" s="23" t="str">
        <x:v>Mus musculus</x:v>
      </x:c>
      <x:c r="D196" s="23" t="str">
        <x:v>Official/current mouse symbol or accepted accession-like symbol</x:v>
      </x:c>
      <x:c r="E196" s="23" t="str">
        <x:v>TBC1D13</x:v>
      </x:c>
      <x:c r="F196" s="23" t="str">
        <x:v>Conserved symbol; human ortholog</x:v>
      </x:c>
      <x:c r="G196" s="23" t="str">
        <x:v>https://www.informatics.jax.org/quicksearch/summary?queryType=exactPhrase&amp;query=Tbc1d13</x:v>
      </x:c>
      <x:c r="H196" s="23" t="str">
        <x:v>https://www.ncbi.nlm.nih.gov/gene/?term=Tbc1d13%5Bgene%5D%20AND%20Mus%20musculus%5Borgn%5D</x:v>
      </x:c>
    </x:row>
    <x:row r="197">
      <x:c r="A197" s="22" t="n">
        <x:v>194</x:v>
      </x:c>
      <x:c r="B197" s="23" t="str">
        <x:v>Tgfbi</x:v>
      </x:c>
      <x:c r="C197" s="23" t="str">
        <x:v>Mus musculus</x:v>
      </x:c>
      <x:c r="D197" s="23" t="str">
        <x:v>Official/current mouse symbol or accepted accession-like symbol</x:v>
      </x:c>
      <x:c r="E197" s="23" t="str">
        <x:v>TGFBI</x:v>
      </x:c>
      <x:c r="F197" s="23" t="str">
        <x:v>Conserved symbol; human ortholog</x:v>
      </x:c>
      <x:c r="G197" s="23" t="str">
        <x:v>https://www.informatics.jax.org/quicksearch/summary?queryType=exactPhrase&amp;query=Tgfbi</x:v>
      </x:c>
      <x:c r="H197" s="23" t="str">
        <x:v>https://www.ncbi.nlm.nih.gov/gene/?term=Tgfbi%5Bgene%5D%20AND%20Mus%20musculus%5Borgn%5D</x:v>
      </x:c>
    </x:row>
    <x:row r="198">
      <x:c r="A198" s="22" t="n">
        <x:v>195</x:v>
      </x:c>
      <x:c r="B198" s="23" t="str">
        <x:v>Themis2</x:v>
      </x:c>
      <x:c r="C198" s="23" t="str">
        <x:v>Mus musculus</x:v>
      </x:c>
      <x:c r="D198" s="23" t="str">
        <x:v>Official/current mouse symbol or accepted accession-like symbol</x:v>
      </x:c>
      <x:c r="E198" s="23" t="str">
        <x:v>THEMIS2</x:v>
      </x:c>
      <x:c r="F198" s="23" t="str">
        <x:v>Conserved symbol; human ortholog</x:v>
      </x:c>
      <x:c r="G198" s="23" t="str">
        <x:v>https://www.informatics.jax.org/quicksearch/summary?queryType=exactPhrase&amp;query=Themis2</x:v>
      </x:c>
      <x:c r="H198" s="23" t="str">
        <x:v>https://www.ncbi.nlm.nih.gov/gene/?term=Themis2%5Bgene%5D%20AND%20Mus%20musculus%5Borgn%5D</x:v>
      </x:c>
    </x:row>
    <x:row r="199">
      <x:c r="A199" s="22" t="n">
        <x:v>196</x:v>
      </x:c>
      <x:c r="B199" s="23" t="str">
        <x:v>Tlr13</x:v>
      </x:c>
      <x:c r="C199" s="23" t="str">
        <x:v>Mus musculus</x:v>
      </x:c>
      <x:c r="D199" s="23" t="str">
        <x:v>Official/current mouse symbol or accepted accession-like symbol</x:v>
      </x:c>
      <x:c r="E199" s="23" t="str"/>
      <x:c r="F199" s="23" t="str">
        <x:v>Mouse-specific TLR; no human ortholog</x:v>
      </x:c>
      <x:c r="G199" s="23" t="str">
        <x:v>https://www.informatics.jax.org/quicksearch/summary?queryType=exactPhrase&amp;query=Tlr13</x:v>
      </x:c>
      <x:c r="H199" s="23" t="str">
        <x:v>https://www.ncbi.nlm.nih.gov/gene/?term=Tlr13%5Bgene%5D%20AND%20Mus%20musculus%5Borgn%5D</x:v>
      </x:c>
    </x:row>
    <x:row r="200">
      <x:c r="A200" s="22" t="n">
        <x:v>197</x:v>
      </x:c>
      <x:c r="B200" s="23" t="str">
        <x:v>Tlr2</x:v>
      </x:c>
      <x:c r="C200" s="23" t="str">
        <x:v>Mus musculus</x:v>
      </x:c>
      <x:c r="D200" s="23" t="str">
        <x:v>Official/current mouse symbol or accepted accession-like symbol</x:v>
      </x:c>
      <x:c r="E200" s="23" t="str">
        <x:v>TLR2</x:v>
      </x:c>
      <x:c r="F200" s="23" t="str">
        <x:v>Conserved symbol; human ortholog</x:v>
      </x:c>
      <x:c r="G200" s="23" t="str">
        <x:v>https://www.informatics.jax.org/quicksearch/summary?queryType=exactPhrase&amp;query=Tlr2</x:v>
      </x:c>
      <x:c r="H200" s="23" t="str">
        <x:v>https://www.ncbi.nlm.nih.gov/gene/?term=Tlr2%5Bgene%5D%20AND%20Mus%20musculus%5Borgn%5D</x:v>
      </x:c>
    </x:row>
    <x:row r="201">
      <x:c r="A201" s="22" t="n">
        <x:v>198</x:v>
      </x:c>
      <x:c r="B201" s="23" t="str">
        <x:v>Tlr7</x:v>
      </x:c>
      <x:c r="C201" s="23" t="str">
        <x:v>Mus musculus</x:v>
      </x:c>
      <x:c r="D201" s="23" t="str">
        <x:v>Official/current mouse symbol or accepted accession-like symbol</x:v>
      </x:c>
      <x:c r="E201" s="23" t="str">
        <x:v>TLR7</x:v>
      </x:c>
      <x:c r="F201" s="23" t="str">
        <x:v>Conserved symbol; human ortholog</x:v>
      </x:c>
      <x:c r="G201" s="23" t="str">
        <x:v>https://www.informatics.jax.org/quicksearch/summary?queryType=exactPhrase&amp;query=Tlr7</x:v>
      </x:c>
      <x:c r="H201" s="23" t="str">
        <x:v>https://www.ncbi.nlm.nih.gov/gene/?term=Tlr7%5Bgene%5D%20AND%20Mus%20musculus%5Borgn%5D</x:v>
      </x:c>
    </x:row>
    <x:row r="202">
      <x:c r="A202" s="22" t="n">
        <x:v>199</x:v>
      </x:c>
      <x:c r="B202" s="23" t="str">
        <x:v>Tmbim6</x:v>
      </x:c>
      <x:c r="C202" s="23" t="str">
        <x:v>Mus musculus</x:v>
      </x:c>
      <x:c r="D202" s="23" t="str">
        <x:v>Official/current mouse symbol or accepted accession-like symbol</x:v>
      </x:c>
      <x:c r="E202" s="23" t="str">
        <x:v>TMBIM6</x:v>
      </x:c>
      <x:c r="F202" s="23" t="str">
        <x:v>Conserved symbol; human ortholog</x:v>
      </x:c>
      <x:c r="G202" s="23" t="str">
        <x:v>https://www.informatics.jax.org/quicksearch/summary?queryType=exactPhrase&amp;query=Tmbim6</x:v>
      </x:c>
      <x:c r="H202" s="23" t="str">
        <x:v>https://www.ncbi.nlm.nih.gov/gene/?term=Tmbim6%5Bgene%5D%20AND%20Mus%20musculus%5Borgn%5D</x:v>
      </x:c>
    </x:row>
    <x:row r="203">
      <x:c r="A203" s="22" t="n">
        <x:v>200</x:v>
      </x:c>
      <x:c r="B203" s="23" t="str">
        <x:v>Tmem119</x:v>
      </x:c>
      <x:c r="C203" s="23" t="str">
        <x:v>Mus musculus</x:v>
      </x:c>
      <x:c r="D203" s="23" t="str">
        <x:v>Official/current mouse symbol or accepted accession-like symbol</x:v>
      </x:c>
      <x:c r="E203" s="23" t="str">
        <x:v>TMEM119</x:v>
      </x:c>
      <x:c r="F203" s="23" t="str">
        <x:v>Conserved symbol; human ortholog</x:v>
      </x:c>
      <x:c r="G203" s="23" t="str">
        <x:v>https://www.informatics.jax.org/quicksearch/summary?queryType=exactPhrase&amp;query=Tmem119</x:v>
      </x:c>
      <x:c r="H203" s="23" t="str">
        <x:v>https://www.ncbi.nlm.nih.gov/gene/?term=Tmem119%5Bgene%5D%20AND%20Mus%20musculus%5Borgn%5D</x:v>
      </x:c>
    </x:row>
    <x:row r="204">
      <x:c r="A204" s="22" t="n">
        <x:v>201</x:v>
      </x:c>
      <x:c r="B204" s="23" t="str">
        <x:v>Tnf</x:v>
      </x:c>
      <x:c r="C204" s="23" t="str">
        <x:v>Mus musculus</x:v>
      </x:c>
      <x:c r="D204" s="23" t="str">
        <x:v>Official/current mouse symbol or accepted accession-like symbol</x:v>
      </x:c>
      <x:c r="E204" s="23" t="str">
        <x:v>TNF</x:v>
      </x:c>
      <x:c r="F204" s="23" t="str">
        <x:v>Conserved symbol; human ortholog</x:v>
      </x:c>
      <x:c r="G204" s="23" t="str">
        <x:v>https://www.informatics.jax.org/quicksearch/summary?queryType=exactPhrase&amp;query=Tnf</x:v>
      </x:c>
      <x:c r="H204" s="23" t="str">
        <x:v>https://www.ncbi.nlm.nih.gov/gene/?term=Tnf%5Bgene%5D%20AND%20Mus%20musculus%5Borgn%5D</x:v>
      </x:c>
    </x:row>
    <x:row r="205">
      <x:c r="A205" s="22" t="n">
        <x:v>202</x:v>
      </x:c>
      <x:c r="B205" s="23" t="str">
        <x:v>Tnfaip2</x:v>
      </x:c>
      <x:c r="C205" s="23" t="str">
        <x:v>Mus musculus</x:v>
      </x:c>
      <x:c r="D205" s="23" t="str">
        <x:v>Official/current mouse symbol or accepted accession-like symbol</x:v>
      </x:c>
      <x:c r="E205" s="23" t="str">
        <x:v>TNFAIP2</x:v>
      </x:c>
      <x:c r="F205" s="23" t="str">
        <x:v>Conserved symbol; human ortholog</x:v>
      </x:c>
      <x:c r="G205" s="23" t="str">
        <x:v>https://www.informatics.jax.org/quicksearch/summary?queryType=exactPhrase&amp;query=Tnfaip2</x:v>
      </x:c>
      <x:c r="H205" s="23" t="str">
        <x:v>https://www.ncbi.nlm.nih.gov/gene/?term=Tnfaip2%5Bgene%5D%20AND%20Mus%20musculus%5Borgn%5D</x:v>
      </x:c>
    </x:row>
    <x:row r="206">
      <x:c r="A206" s="22" t="n">
        <x:v>203</x:v>
      </x:c>
      <x:c r="B206" s="23" t="str">
        <x:v>Top2a</x:v>
      </x:c>
      <x:c r="C206" s="23" t="str">
        <x:v>Mus musculus</x:v>
      </x:c>
      <x:c r="D206" s="23" t="str">
        <x:v>Official/current mouse symbol or accepted accession-like symbol</x:v>
      </x:c>
      <x:c r="E206" s="23" t="str">
        <x:v>TOP2A</x:v>
      </x:c>
      <x:c r="F206" s="23" t="str">
        <x:v>Conserved symbol; human ortholog</x:v>
      </x:c>
      <x:c r="G206" s="23" t="str">
        <x:v>https://www.informatics.jax.org/quicksearch/summary?queryType=exactPhrase&amp;query=Top2a</x:v>
      </x:c>
      <x:c r="H206" s="23" t="str">
        <x:v>https://www.ncbi.nlm.nih.gov/gene/?term=Top2a%5Bgene%5D%20AND%20Mus%20musculus%5Borgn%5D</x:v>
      </x:c>
    </x:row>
    <x:row r="207">
      <x:c r="A207" s="22" t="n">
        <x:v>204</x:v>
      </x:c>
      <x:c r="B207" s="23" t="str">
        <x:v>Trem2</x:v>
      </x:c>
      <x:c r="C207" s="23" t="str">
        <x:v>Mus musculus</x:v>
      </x:c>
      <x:c r="D207" s="23" t="str">
        <x:v>Official/current mouse symbol or accepted accession-like symbol</x:v>
      </x:c>
      <x:c r="E207" s="23" t="str">
        <x:v>TREM2</x:v>
      </x:c>
      <x:c r="F207" s="23" t="str">
        <x:v>Conserved symbol; human ortholog</x:v>
      </x:c>
      <x:c r="G207" s="23" t="str">
        <x:v>https://www.informatics.jax.org/quicksearch/summary?queryType=exactPhrase&amp;query=Trem2</x:v>
      </x:c>
      <x:c r="H207" s="23" t="str">
        <x:v>https://www.ncbi.nlm.nih.gov/gene/?term=Trem2%5Bgene%5D%20AND%20Mus%20musculus%5Borgn%5D</x:v>
      </x:c>
    </x:row>
    <x:row r="208">
      <x:c r="A208" s="22" t="n">
        <x:v>205</x:v>
      </x:c>
      <x:c r="B208" s="23" t="str">
        <x:v>Trim30a</x:v>
      </x:c>
      <x:c r="C208" s="23" t="str">
        <x:v>Mus musculus</x:v>
      </x:c>
      <x:c r="D208" s="23" t="str">
        <x:v>Official/current mouse symbol or accepted accession-like symbol</x:v>
      </x:c>
      <x:c r="E208" s="23" t="str">
        <x:v>TRIM5/TRIM22 (family analogs)</x:v>
      </x:c>
      <x:c r="F208" s="23" t="str">
        <x:v>No strict one-to-one ortholog</x:v>
      </x:c>
      <x:c r="G208" s="23" t="str">
        <x:v>https://www.informatics.jax.org/quicksearch/summary?queryType=exactPhrase&amp;query=Trim30a</x:v>
      </x:c>
      <x:c r="H208" s="23" t="str">
        <x:v>https://www.ncbi.nlm.nih.gov/gene/?term=Trim30a%5Bgene%5D%20AND%20Mus%20musculus%5Borgn%5D</x:v>
      </x:c>
    </x:row>
    <x:row r="209">
      <x:c r="A209" s="22" t="n">
        <x:v>206</x:v>
      </x:c>
      <x:c r="B209" s="23" t="str">
        <x:v>Tspan14</x:v>
      </x:c>
      <x:c r="C209" s="23" t="str">
        <x:v>Mus musculus</x:v>
      </x:c>
      <x:c r="D209" s="23" t="str">
        <x:v>Official/current mouse symbol or accepted accession-like symbol</x:v>
      </x:c>
      <x:c r="E209" s="23" t="str">
        <x:v>TSPAN14</x:v>
      </x:c>
      <x:c r="F209" s="23" t="str">
        <x:v>Conserved symbol; human ortholog</x:v>
      </x:c>
      <x:c r="G209" s="23" t="str">
        <x:v>https://www.informatics.jax.org/quicksearch/summary?queryType=exactPhrase&amp;query=Tspan14</x:v>
      </x:c>
      <x:c r="H209" s="23" t="str">
        <x:v>https://www.ncbi.nlm.nih.gov/gene/?term=Tspan14%5Bgene%5D%20AND%20Mus%20musculus%5Borgn%5D</x:v>
      </x:c>
    </x:row>
    <x:row r="210">
      <x:c r="A210" s="22" t="n">
        <x:v>207</x:v>
      </x:c>
      <x:c r="B210" s="23" t="str">
        <x:v>Tspo</x:v>
      </x:c>
      <x:c r="C210" s="23" t="str">
        <x:v>Mus musculus</x:v>
      </x:c>
      <x:c r="D210" s="23" t="str">
        <x:v>Official/current mouse symbol or accepted accession-like symbol</x:v>
      </x:c>
      <x:c r="E210" s="23" t="str">
        <x:v>TSPO</x:v>
      </x:c>
      <x:c r="F210" s="23" t="str">
        <x:v>Conserved symbol; human ortholog</x:v>
      </x:c>
      <x:c r="G210" s="23" t="str">
        <x:v>https://www.informatics.jax.org/quicksearch/summary?queryType=exactPhrase&amp;query=Tspo</x:v>
      </x:c>
      <x:c r="H210" s="23" t="str">
        <x:v>https://www.ncbi.nlm.nih.gov/gene/?term=Tspo%5Bgene%5D%20AND%20Mus%20musculus%5Borgn%5D</x:v>
      </x:c>
    </x:row>
    <x:row r="211">
      <x:c r="A211" s="22" t="n">
        <x:v>208</x:v>
      </x:c>
      <x:c r="B211" s="23" t="str">
        <x:v>Tyrobp</x:v>
      </x:c>
      <x:c r="C211" s="23" t="str">
        <x:v>Mus musculus</x:v>
      </x:c>
      <x:c r="D211" s="23" t="str">
        <x:v>Official/current mouse symbol or accepted accession-like symbol</x:v>
      </x:c>
      <x:c r="E211" s="23" t="str">
        <x:v>TYROBP</x:v>
      </x:c>
      <x:c r="F211" s="23" t="str">
        <x:v>Conserved symbol; human ortholog</x:v>
      </x:c>
      <x:c r="G211" s="23" t="str">
        <x:v>https://www.informatics.jax.org/quicksearch/summary?queryType=exactPhrase&amp;query=Tyrobp</x:v>
      </x:c>
      <x:c r="H211" s="23" t="str">
        <x:v>https://www.ncbi.nlm.nih.gov/gene/?term=Tyrobp%5Bgene%5D%20AND%20Mus%20musculus%5Borgn%5D</x:v>
      </x:c>
    </x:row>
    <x:row r="212">
      <x:c r="A212" s="22" t="n">
        <x:v>209</x:v>
      </x:c>
      <x:c r="B212" s="23" t="str">
        <x:v>Ucp2</x:v>
      </x:c>
      <x:c r="C212" s="23" t="str">
        <x:v>Mus musculus</x:v>
      </x:c>
      <x:c r="D212" s="23" t="str">
        <x:v>Official/current mouse symbol or accepted accession-like symbol</x:v>
      </x:c>
      <x:c r="E212" s="23" t="str">
        <x:v>UCP2</x:v>
      </x:c>
      <x:c r="F212" s="23" t="str">
        <x:v>Conserved symbol; human ortholog</x:v>
      </x:c>
      <x:c r="G212" s="23" t="str">
        <x:v>https://www.informatics.jax.org/quicksearch/summary?queryType=exactPhrase&amp;query=Ucp2</x:v>
      </x:c>
      <x:c r="H212" s="23" t="str">
        <x:v>https://www.ncbi.nlm.nih.gov/gene/?term=Ucp2%5Bgene%5D%20AND%20Mus%20musculus%5Borgn%5D</x:v>
      </x:c>
    </x:row>
    <x:row r="213">
      <x:c r="A213" s="22" t="n">
        <x:v>210</x:v>
      </x:c>
      <x:c r="B213" s="23" t="str">
        <x:v>Vasp</x:v>
      </x:c>
      <x:c r="C213" s="23" t="str">
        <x:v>Mus musculus</x:v>
      </x:c>
      <x:c r="D213" s="23" t="str">
        <x:v>Official/current mouse symbol or accepted accession-like symbol</x:v>
      </x:c>
      <x:c r="E213" s="23" t="str">
        <x:v>VASP</x:v>
      </x:c>
      <x:c r="F213" s="23" t="str">
        <x:v>Conserved symbol; human ortholog</x:v>
      </x:c>
      <x:c r="G213" s="23" t="str">
        <x:v>https://www.informatics.jax.org/quicksearch/summary?queryType=exactPhrase&amp;query=Vasp</x:v>
      </x:c>
      <x:c r="H213" s="23" t="str">
        <x:v>https://www.ncbi.nlm.nih.gov/gene/?term=Vasp%5Bgene%5D%20AND%20Mus%20musculus%5Borgn%5D</x:v>
      </x:c>
    </x:row>
    <x:row r="214">
      <x:c r="A214" s="22" t="n">
        <x:v>211</x:v>
      </x:c>
      <x:c r="B214" s="23" t="str">
        <x:v>Vav1</x:v>
      </x:c>
      <x:c r="C214" s="23" t="str">
        <x:v>Mus musculus</x:v>
      </x:c>
      <x:c r="D214" s="23" t="str">
        <x:v>Official/current mouse symbol or accepted accession-like symbol</x:v>
      </x:c>
      <x:c r="E214" s="23" t="str">
        <x:v>VAV1</x:v>
      </x:c>
      <x:c r="F214" s="23" t="str">
        <x:v>Conserved symbol; human ortholog</x:v>
      </x:c>
      <x:c r="G214" s="23" t="str">
        <x:v>https://www.informatics.jax.org/quicksearch/summary?queryType=exactPhrase&amp;query=Vav1</x:v>
      </x:c>
      <x:c r="H214" s="23" t="str">
        <x:v>https://www.ncbi.nlm.nih.gov/gene/?term=Vav1%5Bgene%5D%20AND%20Mus%20musculus%5Borgn%5D</x:v>
      </x:c>
    </x:row>
    <x:row r="215">
      <x:c r="A215" s="22" t="n">
        <x:v>212</x:v>
      </x:c>
      <x:c r="B215" s="23" t="str">
        <x:v>Wdfy4</x:v>
      </x:c>
      <x:c r="C215" s="23" t="str">
        <x:v>Mus musculus</x:v>
      </x:c>
      <x:c r="D215" s="23" t="str">
        <x:v>Official/current mouse symbol or accepted accession-like symbol</x:v>
      </x:c>
      <x:c r="E215" s="23" t="str">
        <x:v>WDFY4</x:v>
      </x:c>
      <x:c r="F215" s="23" t="str">
        <x:v>Conserved symbol; human ortholog</x:v>
      </x:c>
      <x:c r="G215" s="23" t="str">
        <x:v>https://www.informatics.jax.org/quicksearch/summary?queryType=exactPhrase&amp;query=Wdfy4</x:v>
      </x:c>
      <x:c r="H215" s="23" t="str">
        <x:v>https://www.ncbi.nlm.nih.gov/gene/?term=Wdfy4%5Bgene%5D%20AND%20Mus%20musculus%5Borgn%5D</x:v>
      </x:c>
    </x:row>
    <x:row r="216">
      <x:c r="A216" s="22" t="n">
        <x:v>213</x:v>
      </x:c>
      <x:c r="B216" s="23" t="str">
        <x:v>Wfdc17</x:v>
      </x:c>
      <x:c r="C216" s="23" t="str">
        <x:v>Mus musculus</x:v>
      </x:c>
      <x:c r="D216" s="23" t="str">
        <x:v>Official/current mouse symbol or accepted accession-like symbol</x:v>
      </x:c>
      <x:c r="E216" s="23" t="str"/>
      <x:c r="F216" s="23" t="str">
        <x:v>No high-confidence human ortholog retained; database predictions conflict</x:v>
      </x:c>
      <x:c r="G216" s="23" t="str">
        <x:v>https://www.informatics.jax.org/quicksearch/summary?queryType=exactPhrase&amp;query=Wfdc17</x:v>
      </x:c>
      <x:c r="H216" s="23" t="str">
        <x:v>https://www.ncbi.nlm.nih.gov/gene/?term=Wfdc17%5Bgene%5D%20AND%20Mus%20musculus%5Borgn%5D</x:v>
      </x:c>
    </x:row>
    <x:row r="217">
      <x:c r="A217" s="22" t="n">
        <x:v>214</x:v>
      </x:c>
      <x:c r="B217" s="23" t="str">
        <x:v>Xdh</x:v>
      </x:c>
      <x:c r="C217" s="23" t="str">
        <x:v>Mus musculus</x:v>
      </x:c>
      <x:c r="D217" s="23" t="str">
        <x:v>Official/current mouse symbol or accepted accession-like symbol</x:v>
      </x:c>
      <x:c r="E217" s="23" t="str">
        <x:v>XDH</x:v>
      </x:c>
      <x:c r="F217" s="23" t="str">
        <x:v>Conserved symbol; human ortholog</x:v>
      </x:c>
      <x:c r="G217" s="23" t="str">
        <x:v>https://www.informatics.jax.org/quicksearch/summary?queryType=exactPhrase&amp;query=Xdh</x:v>
      </x:c>
      <x:c r="H217" s="23" t="str">
        <x:v>https://www.ncbi.nlm.nih.gov/gene/?term=Xdh%5Bgene%5D%20AND%20Mus%20musculus%5Borgn%5D</x:v>
      </x:c>
    </x:row>
    <x:row r="218">
      <x:c r="A218" s="24" t="n">
        <x:v>215</x:v>
      </x:c>
      <x:c r="B218" s="25" t="str">
        <x:v>Ybx2</x:v>
      </x:c>
      <x:c r="C218" s="25" t="str">
        <x:v>Mus musculus</x:v>
      </x:c>
      <x:c r="D218" s="25" t="str">
        <x:v>Official/current mouse symbol or accepted accession-like symbol</x:v>
      </x:c>
      <x:c r="E218" s="25" t="str">
        <x:v>YBX2</x:v>
      </x:c>
      <x:c r="F218" s="25" t="str">
        <x:v>Conserved symbol; human ortholog</x:v>
      </x:c>
      <x:c r="G218" s="25" t="str">
        <x:v>https://www.informatics.jax.org/quicksearch/summary?queryType=exactPhrase&amp;query=Ybx2</x:v>
      </x:c>
      <x:c r="H218" s="25" t="str">
        <x:v>https://www.ncbi.nlm.nih.gov/gene/?term=Ybx2%5Bgene%5D%20AND%20Mus%20musculus%5Borgn%5D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f8ed0dd867746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22" hidden="0" customWidth="1"/>
    <x:col min="4" max="4" width="26" hidden="0" customWidth="1"/>
    <x:col min="5" max="5" width="22" hidden="0" customWidth="1"/>
    <x:col min="6" max="6" width="35" hidden="0" customWidth="1"/>
    <x:col min="7" max="7" width="50" hidden="0" customWidth="1"/>
    <x:col min="8" max="8" width="22" hidden="0" customWidth="1"/>
    <x:col min="9" max="9" width="32" hidden="0" customWidth="1"/>
    <x:col min="10" max="10" width="55" hidden="0" customWidth="1"/>
    <x:col min="11" max="11" width="32" hidden="0" customWidth="1"/>
    <x:col min="12" max="12" width="55" hidden="0" customWidth="1"/>
    <x:col min="13" max="13" width="14" hidden="0" customWidth="1"/>
    <x:col min="14" max="14" width="28" hidden="0" customWidth="1"/>
    <x:col min="15" max="15" width="40" hidden="0" customWidth="1"/>
    <x:col min="16" max="16" width="40" hidden="0" customWidth="1"/>
    <x:col min="17" max="17" width="40" hidden="0" customWidth="1"/>
    <x:col min="18" max="18" width="40" hidden="0" customWidth="1"/>
    <x:col min="19" max="19" width="42" hidden="0" customWidth="1"/>
    <x:col min="20" max="20" width="36" hidden="0" customWidth="1"/>
  </x:cols>
  <x:sheetData>
    <x:row r="1" ht="26" customHeight="1">
      <x:c r="A1" s="28" t="str">
        <x:v>Master gene-by-gene functional annotation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</x:row>
    <x:row r="2" ht="34" customHeight="1">
      <x:c r="A2" s="7" t="str">
        <x:v>No GO enrichment was run. Assignments reflect curated biochemical/pathway knowledge and targeted literature review. Multiple categories are allowed; unsupported relations are not forced.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 ht="34" customHeight="1">
      <x:c r="A3" s="38" t="str">
        <x:v>Input #</x:v>
      </x:c>
      <x:c r="B3" s="39" t="str">
        <x:v>Mouse symbol</x:v>
      </x:c>
      <x:c r="C3" s="39" t="str">
        <x:v>Human ortholog / analog</x:v>
      </x:c>
      <x:c r="D3" s="39" t="str">
        <x:v>Orthology status</x:v>
      </x:c>
      <x:c r="E3" s="39" t="str">
        <x:v>Metabolism classification</x:v>
      </x:c>
      <x:c r="F3" s="39" t="str">
        <x:v>Metabolic pathway(s)</x:v>
      </x:c>
      <x:c r="G3" s="39" t="str">
        <x:v>Exact metabolic relation</x:v>
      </x:c>
      <x:c r="H3" s="39" t="str">
        <x:v>Cell-death classification</x:v>
      </x:c>
      <x:c r="I3" s="39" t="str">
        <x:v>Cell-death modality/modalities</x:v>
      </x:c>
      <x:c r="J3" s="39" t="str">
        <x:v>Exact cell-death relation</x:v>
      </x:c>
      <x:c r="K3" s="39" t="str">
        <x:v>Other pathway(s)</x:v>
      </x:c>
      <x:c r="L3" s="39" t="str">
        <x:v>Core function</x:v>
      </x:c>
      <x:c r="M3" s="39" t="str">
        <x:v>Overall confidence</x:v>
      </x:c>
      <x:c r="N3" s="39" t="str">
        <x:v>Selected reference keys</x:v>
      </x:c>
      <x:c r="O3" s="39" t="str">
        <x:v>MGI</x:v>
      </x:c>
      <x:c r="P3" s="39" t="str">
        <x:v>UniProt</x:v>
      </x:c>
      <x:c r="Q3" s="39" t="str">
        <x:v>NCBI Gene</x:v>
      </x:c>
      <x:c r="R3" s="39" t="str">
        <x:v>Reactome</x:v>
      </x:c>
      <x:c r="S3" s="39" t="str">
        <x:v>Targeted PubMed search</x:v>
      </x:c>
      <x:c r="T3" s="39" t="str">
        <x:v>Curation note</x:v>
      </x:c>
    </x:row>
    <x:row r="4">
      <x:c r="A4" s="22" t="n">
        <x:v>1</x:v>
      </x:c>
      <x:c r="B4" s="23" t="str">
        <x:v>AB124611</x:v>
      </x:c>
      <x:c r="C4" s="23" t="str">
        <x:v>C19orf38</x:v>
      </x:c>
      <x:c r="D4" s="23" t="str">
        <x:v>Reported one-to-one ortholog; mouse symbol is accession-like but valid</x:v>
      </x:c>
      <x:c r="E4" s="23" t="str">
        <x:v>No curated metabolic role</x:v>
      </x:c>
      <x:c r="F4" s="23" t="str"/>
      <x:c r="G4" s="23" t="str"/>
      <x:c r="H4" s="23" t="str">
        <x:v>No curated cell-death relation</x:v>
      </x:c>
      <x:c r="I4" s="23" t="str"/>
      <x:c r="J4" s="23" t="str"/>
      <x:c r="K4" s="23" t="str">
        <x:v>Immune-cell membrane protein; poorly characterized</x:v>
      </x:c>
      <x:c r="L4" s="23" t="str">
        <x:v>Accession-like official mouse gene (also Gm1706/HIDE1); predicted single-pass membrane protein, but experimentally defined molecular function remains limited.</x:v>
      </x:c>
      <x:c r="M4" s="23" t="str">
        <x:v>Low</x:v>
      </x:c>
      <x:c r="N4" s="23" t="str"/>
      <x:c r="O4" s="23" t="str">
        <x:v>https://www.informatics.jax.org/quicksearch/summary?queryType=exactPhrase&amp;query=AB124611</x:v>
      </x:c>
      <x:c r="P4" s="23" t="str">
        <x:v>https://www.uniprot.org/uniprotkb?query=%28gene_exact%3AAB124611%29+AND+%28organism_id%3A10090%29</x:v>
      </x:c>
      <x:c r="Q4" s="23" t="str">
        <x:v>https://www.ncbi.nlm.nih.gov/gene/?term=AB124611%5Bgene%5D%20AND%20Mus%20musculus%5Borgn%5D</x:v>
      </x:c>
      <x:c r="R4" s="23" t="str">
        <x:v>https://reactome.org/content/query?q=AB124611&amp;species=Mus%20musculus</x:v>
      </x:c>
      <x:c r="S4" s="23" t="str">
        <x:v>https://pubmed.ncbi.nlm.nih.gov/?term=(AB124611%5BTitle%2FAbstract%5D)%20AND%20(mouse%20OR%20murine)</x:v>
      </x:c>
      <x:c r="T4" s="23" t="str">
        <x:v>Function is poorly characterized or mainly predicted; No sufficiently supported metabolism or cell-death role curated</x:v>
      </x:c>
    </x:row>
    <x:row r="5">
      <x:c r="A5" s="22" t="n">
        <x:v>2</x:v>
      </x:c>
      <x:c r="B5" s="23" t="str">
        <x:v>Abcc3</x:v>
      </x:c>
      <x:c r="C5" s="23" t="str">
        <x:v>ABCC3</x:v>
      </x:c>
      <x:c r="D5" s="23" t="str">
        <x:v>Conserved symbol; human ortholog</x:v>
      </x:c>
      <x:c r="E5" s="23" t="str">
        <x:v>Direct biochemical/transport role</x:v>
      </x:c>
      <x:c r="F5" s="23" t="str">
        <x:v>Xenobiotic and endobiotic handling: Conjugated metabolite and drug efflux; Lipid, sterol and lipoprotein metabolism: Bile-acid transport</x:v>
      </x:c>
      <x:c r="G5" s="23" t="str">
        <x:v>Exports glucuronide, sulfate and glutathione conjugates and multiple drugs, using ATP hydrolysis.; Transports selected bile acids/conjugates across the plasma membrane and contributes to hepatobiliary endobiotic handling.</x:v>
      </x:c>
      <x:c r="H5" s="23" t="str">
        <x:v>No curated cell-death relation</x:v>
      </x:c>
      <x:c r="I5" s="23" t="str"/>
      <x:c r="J5" s="23" t="str"/>
      <x:c r="K5" s="23" t="str">
        <x:v>ABC transport; xenobiotic/endobiotic handling</x:v>
      </x:c>
      <x:c r="L5" s="23" t="str">
        <x:v>ATP-dependent efflux transporter for glucuronide, sulfate and glutathione conjugates, bile acids and diverse drugs across plasma membranes.</x:v>
      </x:c>
      <x:c r="M5" s="23" t="str">
        <x:v>High</x:v>
      </x:c>
      <x:c r="N5" s="23" t="str">
        <x:v>UNIPROT2025; REACTOME2024</x:v>
      </x:c>
      <x:c r="O5" s="23" t="str">
        <x:v>https://www.informatics.jax.org/quicksearch/summary?queryType=exactPhrase&amp;query=Abcc3</x:v>
      </x:c>
      <x:c r="P5" s="23" t="str">
        <x:v>https://www.uniprot.org/uniprotkb?query=%28gene_exact%3AAbcc3%29+AND+%28organism_id%3A10090%29</x:v>
      </x:c>
      <x:c r="Q5" s="23" t="str">
        <x:v>https://www.ncbi.nlm.nih.gov/gene/?term=Abcc3%5Bgene%5D%20AND%20Mus%20musculus%5Borgn%5D</x:v>
      </x:c>
      <x:c r="R5" s="23" t="str">
        <x:v>https://reactome.org/content/query?q=Abcc3&amp;species=Mus%20musculus</x:v>
      </x:c>
      <x:c r="S5" s="23" t="str">
        <x:v>https://pubmed.ncbi.nlm.nih.gov/?term=(Abcc3%5BTitle%2FAbstract%5D)%20AND%20(mouse%20OR%20murine)</x:v>
      </x:c>
      <x:c r="T5" s="23" t="str"/>
    </x:row>
    <x:row r="6">
      <x:c r="A6" s="22" t="n">
        <x:v>3</x:v>
      </x:c>
      <x:c r="B6" s="23" t="str">
        <x:v>Abcf2</x:v>
      </x:c>
      <x:c r="C6" s="23" t="str">
        <x:v>ABCF2</x:v>
      </x:c>
      <x:c r="D6" s="23" t="str">
        <x:v>Conserved symbol; human ortholog</x:v>
      </x:c>
      <x:c r="E6" s="23" t="str">
        <x:v>No curated metabolic role</x:v>
      </x:c>
      <x:c r="F6" s="23" t="str"/>
      <x:c r="G6" s="23" t="str"/>
      <x:c r="H6" s="23" t="str">
        <x:v>No curated cell-death relation</x:v>
      </x:c>
      <x:c r="I6" s="23" t="str"/>
      <x:c r="J6" s="23" t="str"/>
      <x:c r="K6" s="23" t="str">
        <x:v>Translation and ribosome-associated quality control</x:v>
      </x:c>
      <x:c r="L6" s="23" t="str">
        <x:v>Soluble ABC-F ATPase associated with ribosomes; supports protein synthesis/ribosome protection rather than membrane transport.</x:v>
      </x:c>
      <x:c r="M6" s="23" t="str">
        <x:v>Moderate</x:v>
      </x:c>
      <x:c r="N6" s="23" t="str"/>
      <x:c r="O6" s="23" t="str">
        <x:v>https://www.informatics.jax.org/quicksearch/summary?queryType=exactPhrase&amp;query=Abcf2</x:v>
      </x:c>
      <x:c r="P6" s="23" t="str">
        <x:v>https://www.uniprot.org/uniprotkb?query=%28gene_exact%3AAbcf2%29+AND+%28organism_id%3A10090%29</x:v>
      </x:c>
      <x:c r="Q6" s="23" t="str">
        <x:v>https://www.ncbi.nlm.nih.gov/gene/?term=Abcf2%5Bgene%5D%20AND%20Mus%20musculus%5Borgn%5D</x:v>
      </x:c>
      <x:c r="R6" s="23" t="str">
        <x:v>https://reactome.org/content/query?q=Abcf2&amp;species=Mus%20musculus</x:v>
      </x:c>
      <x:c r="S6" s="23" t="str">
        <x:v>https://pubmed.ncbi.nlm.nih.gov/?term=(Abcf2%5BTitle%2FAbstract%5D)%20AND%20(mouse%20OR%20murine)</x:v>
      </x:c>
      <x:c r="T6" s="23" t="str">
        <x:v>No sufficiently supported metabolism or cell-death role curated</x:v>
      </x:c>
    </x:row>
    <x:row r="7">
      <x:c r="A7" s="22" t="n">
        <x:v>4</x:v>
      </x:c>
      <x:c r="B7" s="23" t="str">
        <x:v>Adgre1</x:v>
      </x:c>
      <x:c r="C7" s="23" t="str">
        <x:v>ADGRE1</x:v>
      </x:c>
      <x:c r="D7" s="23" t="str">
        <x:v>Conserved symbol; human ortholog</x:v>
      </x:c>
      <x:c r="E7" s="23" t="str">
        <x:v>No curated metabolic role</x:v>
      </x:c>
      <x:c r="F7" s="23" t="str"/>
      <x:c r="G7" s="23" t="str"/>
      <x:c r="H7" s="23" t="str">
        <x:v>No curated cell-death relation</x:v>
      </x:c>
      <x:c r="I7" s="23" t="str"/>
      <x:c r="J7" s="23" t="str"/>
      <x:c r="K7" s="23" t="str">
        <x:v>Myeloid identity; adhesion GPCR signaling</x:v>
      </x:c>
      <x:c r="L7" s="23" t="str">
        <x:v>F4/80 adhesion-type GPCR expressed by macrophage-lineage cells; participates in immune-cell adhesion and tissue macrophage biology.</x:v>
      </x:c>
      <x:c r="M7" s="23" t="str">
        <x:v>High</x:v>
      </x:c>
      <x:c r="N7" s="23" t="str"/>
      <x:c r="O7" s="23" t="str">
        <x:v>https://www.informatics.jax.org/quicksearch/summary?queryType=exactPhrase&amp;query=Adgre1</x:v>
      </x:c>
      <x:c r="P7" s="23" t="str">
        <x:v>https://www.uniprot.org/uniprotkb?query=%28gene_exact%3AAdgre1%29+AND+%28organism_id%3A10090%29</x:v>
      </x:c>
      <x:c r="Q7" s="23" t="str">
        <x:v>https://www.ncbi.nlm.nih.gov/gene/?term=Adgre1%5Bgene%5D%20AND%20Mus%20musculus%5Borgn%5D</x:v>
      </x:c>
      <x:c r="R7" s="23" t="str">
        <x:v>https://reactome.org/content/query?q=Adgre1&amp;species=Mus%20musculus</x:v>
      </x:c>
      <x:c r="S7" s="23" t="str">
        <x:v>https://pubmed.ncbi.nlm.nih.gov/?term=(Adgre1%5BTitle%2FAbstract%5D)%20AND%20(mouse%20OR%20murine)</x:v>
      </x:c>
      <x:c r="T7" s="23" t="str">
        <x:v>No sufficiently supported metabolism or cell-death role curated</x:v>
      </x:c>
    </x:row>
    <x:row r="8">
      <x:c r="A8" s="22" t="n">
        <x:v>5</x:v>
      </x:c>
      <x:c r="B8" s="23" t="str">
        <x:v>Aif1</x:v>
      </x:c>
      <x:c r="C8" s="23" t="str">
        <x:v>AIF1</x:v>
      </x:c>
      <x:c r="D8" s="23" t="str">
        <x:v>Conserved symbol; human ortholog</x:v>
      </x:c>
      <x:c r="E8" s="23" t="str">
        <x:v>No curated metabolic role</x:v>
      </x:c>
      <x:c r="F8" s="23" t="str"/>
      <x:c r="G8" s="23" t="str"/>
      <x:c r="H8" s="23" t="str">
        <x:v>No curated cell-death relation</x:v>
      </x:c>
      <x:c r="I8" s="23" t="str"/>
      <x:c r="J8" s="23" t="str"/>
      <x:c r="K8" s="23" t="str">
        <x:v>Actin remodeling; phagocyte activation</x:v>
      </x:c>
      <x:c r="L8" s="23" t="str">
        <x:v>Calcium-responsive actin-binding protein that promotes membrane ruffling, migration and phagocytic/inflammatory responses in myeloid cells.</x:v>
      </x:c>
      <x:c r="M8" s="23" t="str">
        <x:v>High</x:v>
      </x:c>
      <x:c r="N8" s="23" t="str"/>
      <x:c r="O8" s="23" t="str">
        <x:v>https://www.informatics.jax.org/quicksearch/summary?queryType=exactPhrase&amp;query=Aif1</x:v>
      </x:c>
      <x:c r="P8" s="23" t="str">
        <x:v>https://www.uniprot.org/uniprotkb?query=%28gene_exact%3AAif1%29+AND+%28organism_id%3A10090%29</x:v>
      </x:c>
      <x:c r="Q8" s="23" t="str">
        <x:v>https://www.ncbi.nlm.nih.gov/gene/?term=Aif1%5Bgene%5D%20AND%20Mus%20musculus%5Borgn%5D</x:v>
      </x:c>
      <x:c r="R8" s="23" t="str">
        <x:v>https://reactome.org/content/query?q=Aif1&amp;species=Mus%20musculus</x:v>
      </x:c>
      <x:c r="S8" s="23" t="str">
        <x:v>https://pubmed.ncbi.nlm.nih.gov/?term=(Aif1%5BTitle%2FAbstract%5D)%20AND%20(mouse%20OR%20murine)</x:v>
      </x:c>
      <x:c r="T8" s="23" t="str">
        <x:v>No sufficiently supported metabolism or cell-death role curated</x:v>
      </x:c>
    </x:row>
    <x:row r="9">
      <x:c r="A9" s="22" t="n">
        <x:v>6</x:v>
      </x:c>
      <x:c r="B9" s="23" t="str">
        <x:v>Apobr</x:v>
      </x:c>
      <x:c r="C9" s="23" t="str">
        <x:v>APOBR</x:v>
      </x:c>
      <x:c r="D9" s="23" t="str">
        <x:v>Conserved symbol; human ortholog</x:v>
      </x:c>
      <x:c r="E9" s="23" t="str">
        <x:v>Direct biochemical/transport role</x:v>
      </x:c>
      <x:c r="F9" s="23" t="str">
        <x:v>Lipid, sterol and lipoprotein metabolism: Triglyceride-rich lipoprotein uptake</x:v>
      </x:c>
      <x:c r="G9" s="23" t="str">
        <x:v>Binds and internalizes apoB48-containing chylomicron/VLDL remnants, delivering neutral lipid and cholesterol to macrophages.</x:v>
      </x:c>
      <x:c r="H9" s="23" t="str">
        <x:v>No curated cell-death relation</x:v>
      </x:c>
      <x:c r="I9" s="23" t="str"/>
      <x:c r="J9" s="23" t="str"/>
      <x:c r="K9" s="23" t="str">
        <x:v>Lipoprotein uptake; foam-cell biology</x:v>
      </x:c>
      <x:c r="L9" s="23" t="str">
        <x:v>Macrophage receptor that binds apoB48-containing triglyceride-rich lipoproteins and promotes their internalization.</x:v>
      </x:c>
      <x:c r="M9" s="23" t="str">
        <x:v>High</x:v>
      </x:c>
      <x:c r="N9" s="23" t="str">
        <x:v>UNIPROT2025; NCBIGENE2015</x:v>
      </x:c>
      <x:c r="O9" s="23" t="str">
        <x:v>https://www.informatics.jax.org/quicksearch/summary?queryType=exactPhrase&amp;query=Apobr</x:v>
      </x:c>
      <x:c r="P9" s="23" t="str">
        <x:v>https://www.uniprot.org/uniprotkb?query=%28gene_exact%3AApobr%29+AND+%28organism_id%3A10090%29</x:v>
      </x:c>
      <x:c r="Q9" s="23" t="str">
        <x:v>https://www.ncbi.nlm.nih.gov/gene/?term=Apobr%5Bgene%5D%20AND%20Mus%20musculus%5Borgn%5D</x:v>
      </x:c>
      <x:c r="R9" s="23" t="str">
        <x:v>https://reactome.org/content/query?q=Apobr&amp;species=Mus%20musculus</x:v>
      </x:c>
      <x:c r="S9" s="23" t="str">
        <x:v>https://pubmed.ncbi.nlm.nih.gov/?term=(Apobr%5BTitle%2FAbstract%5D)%20AND%20(mouse%20OR%20murine)</x:v>
      </x:c>
      <x:c r="T9" s="23" t="str"/>
    </x:row>
    <x:row r="10">
      <x:c r="A10" s="22" t="n">
        <x:v>7</x:v>
      </x:c>
      <x:c r="B10" s="23" t="str">
        <x:v>Arhgap25</x:v>
      </x:c>
      <x:c r="C10" s="23" t="str">
        <x:v>ARHGAP25</x:v>
      </x:c>
      <x:c r="D10" s="23" t="str">
        <x:v>Conserved symbol; human ortholog</x:v>
      </x:c>
      <x:c r="E10" s="23" t="str">
        <x:v>No curated metabolic role</x:v>
      </x:c>
      <x:c r="F10" s="23" t="str"/>
      <x:c r="G10" s="23" t="str"/>
      <x:c r="H10" s="23" t="str">
        <x:v>No curated cell-death relation</x:v>
      </x:c>
      <x:c r="I10" s="23" t="str"/>
      <x:c r="J10" s="23" t="str"/>
      <x:c r="K10" s="23" t="str">
        <x:v>Rho-family signaling; leukocyte migration</x:v>
      </x:c>
      <x:c r="L10" s="23" t="str">
        <x:v>Leukocyte-enriched GTPase-activating protein that restrains RAC-family signaling and controls actin dynamics, chemotaxis and phagocytosis.</x:v>
      </x:c>
      <x:c r="M10" s="23" t="str">
        <x:v>High</x:v>
      </x:c>
      <x:c r="N10" s="23" t="str"/>
      <x:c r="O10" s="23" t="str">
        <x:v>https://www.informatics.jax.org/quicksearch/summary?queryType=exactPhrase&amp;query=Arhgap25</x:v>
      </x:c>
      <x:c r="P10" s="23" t="str">
        <x:v>https://www.uniprot.org/uniprotkb?query=%28gene_exact%3AArhgap25%29+AND+%28organism_id%3A10090%29</x:v>
      </x:c>
      <x:c r="Q10" s="23" t="str">
        <x:v>https://www.ncbi.nlm.nih.gov/gene/?term=Arhgap25%5Bgene%5D%20AND%20Mus%20musculus%5Borgn%5D</x:v>
      </x:c>
      <x:c r="R10" s="23" t="str">
        <x:v>https://reactome.org/content/query?q=Arhgap25&amp;species=Mus%20musculus</x:v>
      </x:c>
      <x:c r="S10" s="23" t="str">
        <x:v>https://pubmed.ncbi.nlm.nih.gov/?term=(Arhgap25%5BTitle%2FAbstract%5D)%20AND%20(mouse%20OR%20murine)</x:v>
      </x:c>
      <x:c r="T10" s="23" t="str">
        <x:v>No sufficiently supported metabolism or cell-death role curated</x:v>
      </x:c>
    </x:row>
    <x:row r="11">
      <x:c r="A11" s="22" t="n">
        <x:v>8</x:v>
      </x:c>
      <x:c r="B11" s="23" t="str">
        <x:v>Arhgef19</x:v>
      </x:c>
      <x:c r="C11" s="23" t="str">
        <x:v>ARHGEF19</x:v>
      </x:c>
      <x:c r="D11" s="23" t="str">
        <x:v>Conserved symbol; human ortholog</x:v>
      </x:c>
      <x:c r="E11" s="23" t="str">
        <x:v>No curated metabolic role</x:v>
      </x:c>
      <x:c r="F11" s="23" t="str"/>
      <x:c r="G11" s="23" t="str"/>
      <x:c r="H11" s="23" t="str">
        <x:v>No curated cell-death relation</x:v>
      </x:c>
      <x:c r="I11" s="23" t="str"/>
      <x:c r="J11" s="23" t="str"/>
      <x:c r="K11" s="23" t="str">
        <x:v>Rho-family signaling; cytoskeleton</x:v>
      </x:c>
      <x:c r="L11" s="23" t="str">
        <x:v>Rho guanine-nucleotide exchange factor that activates RHO-family GTPases; functional characterization is context dependent.</x:v>
      </x:c>
      <x:c r="M11" s="23" t="str">
        <x:v>Moderate</x:v>
      </x:c>
      <x:c r="N11" s="23" t="str"/>
      <x:c r="O11" s="23" t="str">
        <x:v>https://www.informatics.jax.org/quicksearch/summary?queryType=exactPhrase&amp;query=Arhgef19</x:v>
      </x:c>
      <x:c r="P11" s="23" t="str">
        <x:v>https://www.uniprot.org/uniprotkb?query=%28gene_exact%3AArhgef19%29+AND+%28organism_id%3A10090%29</x:v>
      </x:c>
      <x:c r="Q11" s="23" t="str">
        <x:v>https://www.ncbi.nlm.nih.gov/gene/?term=Arhgef19%5Bgene%5D%20AND%20Mus%20musculus%5Borgn%5D</x:v>
      </x:c>
      <x:c r="R11" s="23" t="str">
        <x:v>https://reactome.org/content/query?q=Arhgef19&amp;species=Mus%20musculus</x:v>
      </x:c>
      <x:c r="S11" s="23" t="str">
        <x:v>https://pubmed.ncbi.nlm.nih.gov/?term=(Arhgef19%5BTitle%2FAbstract%5D)%20AND%20(mouse%20OR%20murine)</x:v>
      </x:c>
      <x:c r="T11" s="23" t="str">
        <x:v>No sufficiently supported metabolism or cell-death role curated</x:v>
      </x:c>
    </x:row>
    <x:row r="12">
      <x:c r="A12" s="22" t="n">
        <x:v>9</x:v>
      </x:c>
      <x:c r="B12" s="23" t="str">
        <x:v>Arpc1b</x:v>
      </x:c>
      <x:c r="C12" s="23" t="str">
        <x:v>ARPC1B</x:v>
      </x:c>
      <x:c r="D12" s="23" t="str">
        <x:v>Conserved symbol; human ortholog</x:v>
      </x:c>
      <x:c r="E12" s="23" t="str">
        <x:v>No curated metabolic role</x:v>
      </x:c>
      <x:c r="F12" s="23" t="str"/>
      <x:c r="G12" s="23" t="str"/>
      <x:c r="H12" s="23" t="str">
        <x:v>No curated cell-death relation</x:v>
      </x:c>
      <x:c r="I12" s="23" t="str"/>
      <x:c r="J12" s="23" t="str"/>
      <x:c r="K12" s="23" t="str">
        <x:v>Arp2/3 actin nucleation; immune synapse</x:v>
      </x:c>
      <x:c r="L12" s="23" t="str">
        <x:v>Core Arp2/3-complex subunit required for branched actin polymerization, immune-cell migration, phagocytosis and synapse formation.</x:v>
      </x:c>
      <x:c r="M12" s="23" t="str">
        <x:v>High</x:v>
      </x:c>
      <x:c r="N12" s="23" t="str"/>
      <x:c r="O12" s="23" t="str">
        <x:v>https://www.informatics.jax.org/quicksearch/summary?queryType=exactPhrase&amp;query=Arpc1b</x:v>
      </x:c>
      <x:c r="P12" s="23" t="str">
        <x:v>https://www.uniprot.org/uniprotkb?query=%28gene_exact%3AArpc1b%29+AND+%28organism_id%3A10090%29</x:v>
      </x:c>
      <x:c r="Q12" s="23" t="str">
        <x:v>https://www.ncbi.nlm.nih.gov/gene/?term=Arpc1b%5Bgene%5D%20AND%20Mus%20musculus%5Borgn%5D</x:v>
      </x:c>
      <x:c r="R12" s="23" t="str">
        <x:v>https://reactome.org/content/query?q=Arpc1b&amp;species=Mus%20musculus</x:v>
      </x:c>
      <x:c r="S12" s="23" t="str">
        <x:v>https://pubmed.ncbi.nlm.nih.gov/?term=(Arpc1b%5BTitle%2FAbstract%5D)%20AND%20(mouse%20OR%20murine)</x:v>
      </x:c>
      <x:c r="T12" s="23" t="str">
        <x:v>No sufficiently supported metabolism or cell-death role curated</x:v>
      </x:c>
    </x:row>
    <x:row r="13">
      <x:c r="A13" s="22" t="n">
        <x:v>10</x:v>
      </x:c>
      <x:c r="B13" s="23" t="str">
        <x:v>Arrdc2</x:v>
      </x:c>
      <x:c r="C13" s="23" t="str">
        <x:v>ARRDC2</x:v>
      </x:c>
      <x:c r="D13" s="23" t="str">
        <x:v>Conserved symbol; human ortholog</x:v>
      </x:c>
      <x:c r="E13" s="23" t="str">
        <x:v>No curated metabolic role</x:v>
      </x:c>
      <x:c r="F13" s="23" t="str"/>
      <x:c r="G13" s="23" t="str"/>
      <x:c r="H13" s="23" t="str">
        <x:v>No curated cell-death relation</x:v>
      </x:c>
      <x:c r="I13" s="23" t="str"/>
      <x:c r="J13" s="23" t="str"/>
      <x:c r="K13" s="23" t="str">
        <x:v>Arrestin-domain trafficking; poorly characterized</x:v>
      </x:c>
      <x:c r="L13" s="23" t="str">
        <x:v>Arrestin-domain-containing protein implicated in membrane-protein trafficking/signaling; precise physiological function is incompletely established.</x:v>
      </x:c>
      <x:c r="M13" s="23" t="str">
        <x:v>Low</x:v>
      </x:c>
      <x:c r="N13" s="23" t="str"/>
      <x:c r="O13" s="23" t="str">
        <x:v>https://www.informatics.jax.org/quicksearch/summary?queryType=exactPhrase&amp;query=Arrdc2</x:v>
      </x:c>
      <x:c r="P13" s="23" t="str">
        <x:v>https://www.uniprot.org/uniprotkb?query=%28gene_exact%3AArrdc2%29+AND+%28organism_id%3A10090%29</x:v>
      </x:c>
      <x:c r="Q13" s="23" t="str">
        <x:v>https://www.ncbi.nlm.nih.gov/gene/?term=Arrdc2%5Bgene%5D%20AND%20Mus%20musculus%5Borgn%5D</x:v>
      </x:c>
      <x:c r="R13" s="23" t="str">
        <x:v>https://reactome.org/content/query?q=Arrdc2&amp;species=Mus%20musculus</x:v>
      </x:c>
      <x:c r="S13" s="23" t="str">
        <x:v>https://pubmed.ncbi.nlm.nih.gov/?term=(Arrdc2%5BTitle%2FAbstract%5D)%20AND%20(mouse%20OR%20murine)</x:v>
      </x:c>
      <x:c r="T13" s="23" t="str">
        <x:v>Function is poorly characterized or mainly predicted; No sufficiently supported metabolism or cell-death role curated</x:v>
      </x:c>
    </x:row>
    <x:row r="14">
      <x:c r="A14" s="22" t="n">
        <x:v>11</x:v>
      </x:c>
      <x:c r="B14" s="23" t="str">
        <x:v>Atf3</x:v>
      </x:c>
      <x:c r="C14" s="23" t="str">
        <x:v>ATF3</x:v>
      </x:c>
      <x:c r="D14" s="23" t="str">
        <x:v>Conserved symbol; human ortholog</x:v>
      </x:c>
      <x:c r="E14" s="23" t="str">
        <x:v>No curated metabolic role</x:v>
      </x:c>
      <x:c r="F14" s="23" t="str"/>
      <x:c r="G14" s="23" t="str"/>
      <x:c r="H14" s="23" t="str">
        <x:v>Contextual cell-death modifier</x:v>
      </x:c>
      <x:c r="I14" s="23" t="str">
        <x:v>Apoptosis / stress-induced death</x:v>
      </x:c>
      <x:c r="J14" s="23" t="str">
        <x:v>Transcriptional modifier: ATF3 can induce or repress pro-survival and pro-apoptotic genes during ER, oxidative, genotoxic or inflammatory stress.</x:v>
      </x:c>
      <x:c r="K14" s="23" t="str">
        <x:v>Integrated stress response; transcription</x:v>
      </x:c>
      <x:c r="L14" s="23" t="str">
        <x:v>Stress-inducible transcription factor that rewires inflammatory, damage and survival programs in a stimulus- and cell-type-dependent manner.</x:v>
      </x:c>
      <x:c r="M14" s="23" t="str">
        <x:v>High</x:v>
      </x:c>
      <x:c r="N14" s="23" t="str">
        <x:v>NCCD2018</x:v>
      </x:c>
      <x:c r="O14" s="23" t="str">
        <x:v>https://www.informatics.jax.org/quicksearch/summary?queryType=exactPhrase&amp;query=Atf3</x:v>
      </x:c>
      <x:c r="P14" s="23" t="str">
        <x:v>https://www.uniprot.org/uniprotkb?query=%28gene_exact%3AAtf3%29+AND+%28organism_id%3A10090%29</x:v>
      </x:c>
      <x:c r="Q14" s="23" t="str">
        <x:v>https://www.ncbi.nlm.nih.gov/gene/?term=Atf3%5Bgene%5D%20AND%20Mus%20musculus%5Borgn%5D</x:v>
      </x:c>
      <x:c r="R14" s="23" t="str">
        <x:v>https://reactome.org/content/query?q=Atf3&amp;species=Mus%20musculus</x:v>
      </x:c>
      <x:c r="S14" s="23" t="str">
        <x:v>https://pubmed.ncbi.nlm.nih.gov/?term=(Atf3%5BTitle%2FAbstract%5D)%20AND%20(mouse%20OR%20murine)</x:v>
      </x:c>
      <x:c r="T14" s="23" t="str"/>
    </x:row>
    <x:row r="15">
      <x:c r="A15" s="22" t="n">
        <x:v>12</x:v>
      </x:c>
      <x:c r="B15" s="23" t="str">
        <x:v>B2m</x:v>
      </x:c>
      <x:c r="C15" s="23" t="str">
        <x:v>B2M</x:v>
      </x:c>
      <x:c r="D15" s="23" t="str">
        <x:v>Conserved symbol; human ortholog</x:v>
      </x:c>
      <x:c r="E15" s="23" t="str">
        <x:v>No curated metabolic role</x:v>
      </x:c>
      <x:c r="F15" s="23" t="str"/>
      <x:c r="G15" s="23" t="str"/>
      <x:c r="H15" s="23" t="str">
        <x:v>No curated cell-death relation</x:v>
      </x:c>
      <x:c r="I15" s="23" t="str"/>
      <x:c r="J15" s="23" t="str"/>
      <x:c r="K15" s="23" t="str">
        <x:v>MHC class-I antigen presentation</x:v>
      </x:c>
      <x:c r="L15" s="23" t="str">
        <x:v>Invariant beta-2-microglobulin light chain required for surface stability of classical and many nonclassical MHC-I complexes.</x:v>
      </x:c>
      <x:c r="M15" s="23" t="str">
        <x:v>High</x:v>
      </x:c>
      <x:c r="N15" s="23" t="str"/>
      <x:c r="O15" s="23" t="str">
        <x:v>https://www.informatics.jax.org/quicksearch/summary?queryType=exactPhrase&amp;query=B2m</x:v>
      </x:c>
      <x:c r="P15" s="23" t="str">
        <x:v>https://www.uniprot.org/uniprotkb?query=%28gene_exact%3AB2m%29+AND+%28organism_id%3A10090%29</x:v>
      </x:c>
      <x:c r="Q15" s="23" t="str">
        <x:v>https://www.ncbi.nlm.nih.gov/gene/?term=B2m%5Bgene%5D%20AND%20Mus%20musculus%5Borgn%5D</x:v>
      </x:c>
      <x:c r="R15" s="23" t="str">
        <x:v>https://reactome.org/content/query?q=B2m&amp;species=Mus%20musculus</x:v>
      </x:c>
      <x:c r="S15" s="23" t="str">
        <x:v>https://pubmed.ncbi.nlm.nih.gov/?term=(B2m%5BTitle%2FAbstract%5D)%20AND%20(mouse%20OR%20murine)</x:v>
      </x:c>
      <x:c r="T15" s="23" t="str">
        <x:v>No sufficiently supported metabolism or cell-death role curated</x:v>
      </x:c>
    </x:row>
    <x:row r="16">
      <x:c r="A16" s="22" t="n">
        <x:v>13</x:v>
      </x:c>
      <x:c r="B16" s="23" t="str">
        <x:v>Bcl2a1b</x:v>
      </x:c>
      <x:c r="C16" s="23" t="str">
        <x:v>BCL2A1</x:v>
      </x:c>
      <x:c r="D16" s="23" t="str">
        <x:v>Many-to-one paralog family mapping</x:v>
      </x:c>
      <x:c r="E16" s="23" t="str">
        <x:v>No curated metabolic role</x:v>
      </x:c>
      <x:c r="F16" s="23" t="str"/>
      <x:c r="G16" s="23" t="str"/>
      <x:c r="H16" s="23" t="str">
        <x:v>Mechanistic pathway relation</x:v>
      </x:c>
      <x:c r="I16" s="23" t="str">
        <x:v>Intrinsic apoptosis</x:v>
      </x:c>
      <x:c r="J16" s="23" t="str">
        <x:v>Core pathway regulator: Anti-apoptotic BCL2A1-family protein binds BH3-only/effector proteins and restrains mitochondrial outer-membrane permeabilization.</x:v>
      </x:c>
      <x:c r="K16" s="23" t="str">
        <x:v>BCL2-family survival signaling</x:v>
      </x:c>
      <x:c r="L16" s="23" t="str">
        <x:v>Mouse anti-apoptotic BCL2A1 paralog that binds pro-apoptotic BCL2-family proteins and preserves mitochondrial integrity.</x:v>
      </x:c>
      <x:c r="M16" s="23" t="str">
        <x:v>High</x:v>
      </x:c>
      <x:c r="N16" s="23" t="str">
        <x:v>BCL2A1_2012; NCCD2018</x:v>
      </x:c>
      <x:c r="O16" s="23" t="str">
        <x:v>https://www.informatics.jax.org/quicksearch/summary?queryType=exactPhrase&amp;query=Bcl2a1b</x:v>
      </x:c>
      <x:c r="P16" s="23" t="str">
        <x:v>https://www.uniprot.org/uniprotkb?query=%28gene_exact%3ABcl2a1b%29+AND+%28organism_id%3A10090%29</x:v>
      </x:c>
      <x:c r="Q16" s="23" t="str">
        <x:v>https://www.ncbi.nlm.nih.gov/gene/?term=Bcl2a1b%5Bgene%5D%20AND%20Mus%20musculus%5Borgn%5D</x:v>
      </x:c>
      <x:c r="R16" s="23" t="str">
        <x:v>https://reactome.org/content/query?q=Bcl2a1b&amp;species=Mus%20musculus</x:v>
      </x:c>
      <x:c r="S16" s="23" t="str">
        <x:v>https://pubmed.ncbi.nlm.nih.gov/?term=(Bcl2a1b%5BTitle%2FAbstract%5D)%20AND%20(mouse%20OR%20murine)</x:v>
      </x:c>
      <x:c r="T16" s="23" t="str">
        <x:v>Orthology requires caution</x:v>
      </x:c>
    </x:row>
    <x:row r="17">
      <x:c r="A17" s="22" t="n">
        <x:v>14</x:v>
      </x:c>
      <x:c r="B17" s="23" t="str">
        <x:v>C1qa</x:v>
      </x:c>
      <x:c r="C17" s="23" t="str">
        <x:v>C1QA</x:v>
      </x:c>
      <x:c r="D17" s="23" t="str">
        <x:v>Conserved symbol; human ortholog</x:v>
      </x:c>
      <x:c r="E17" s="23" t="str">
        <x:v>No curated metabolic role</x:v>
      </x:c>
      <x:c r="F17" s="23" t="str"/>
      <x:c r="G17" s="23" t="str"/>
      <x:c r="H17" s="23" t="str">
        <x:v>Clearance/cargo/survival relation</x:v>
      </x:c>
      <x:c r="I17" s="23" t="str">
        <x:v>Apoptotic-cell clearance (efferocytosis)</x:v>
      </x:c>
      <x:c r="J17" s="23" t="str">
        <x:v>Post-death recognition/clearance: C1q binds dying-cell material and bridges/opsonizes it for phagocytic removal.</x:v>
      </x:c>
      <x:c r="K17" s="23" t="str">
        <x:v>Classical complement; efferocytosis</x:v>
      </x:c>
      <x:c r="L17" s="23" t="str">
        <x:v>C1q A-chain; with C1qb/C1qc forms the recognition unit of C1 and opsonizes immune complexes, pathogens and dying-cell material.</x:v>
      </x:c>
      <x:c r="M17" s="23" t="str">
        <x:v>High</x:v>
      </x:c>
      <x:c r="N17" s="23" t="str">
        <x:v>C1Q2014; NCCD2018</x:v>
      </x:c>
      <x:c r="O17" s="23" t="str">
        <x:v>https://www.informatics.jax.org/quicksearch/summary?queryType=exactPhrase&amp;query=C1qa</x:v>
      </x:c>
      <x:c r="P17" s="23" t="str">
        <x:v>https://www.uniprot.org/uniprotkb?query=%28gene_exact%3AC1qa%29+AND+%28organism_id%3A10090%29</x:v>
      </x:c>
      <x:c r="Q17" s="23" t="str">
        <x:v>https://www.ncbi.nlm.nih.gov/gene/?term=C1qa%5Bgene%5D%20AND%20Mus%20musculus%5Borgn%5D</x:v>
      </x:c>
      <x:c r="R17" s="23" t="str">
        <x:v>https://reactome.org/content/query?q=C1qa&amp;species=Mus%20musculus</x:v>
      </x:c>
      <x:c r="S17" s="23" t="str">
        <x:v>https://pubmed.ncbi.nlm.nih.gov/?term=(C1qa%5BTitle%2FAbstract%5D)%20AND%20(mouse%20OR%20murine)</x:v>
      </x:c>
      <x:c r="T17" s="23" t="str"/>
    </x:row>
    <x:row r="18">
      <x:c r="A18" s="22" t="n">
        <x:v>15</x:v>
      </x:c>
      <x:c r="B18" s="23" t="str">
        <x:v>C1qb</x:v>
      </x:c>
      <x:c r="C18" s="23" t="str">
        <x:v>C1QB</x:v>
      </x:c>
      <x:c r="D18" s="23" t="str">
        <x:v>Conserved symbol; human ortholog</x:v>
      </x:c>
      <x:c r="E18" s="23" t="str">
        <x:v>No curated metabolic role</x:v>
      </x:c>
      <x:c r="F18" s="23" t="str"/>
      <x:c r="G18" s="23" t="str"/>
      <x:c r="H18" s="23" t="str">
        <x:v>Clearance/cargo/survival relation</x:v>
      </x:c>
      <x:c r="I18" s="23" t="str">
        <x:v>Apoptotic-cell clearance (efferocytosis)</x:v>
      </x:c>
      <x:c r="J18" s="23" t="str">
        <x:v>Post-death recognition/clearance: C1q B-chain is required for the C1q recognition complex that opsonizes apoptotic cells/debris.</x:v>
      </x:c>
      <x:c r="K18" s="23" t="str">
        <x:v>Classical complement; efferocytosis</x:v>
      </x:c>
      <x:c r="L18" s="23" t="str">
        <x:v>C1q B-chain; structural component of the C1q recognition complex involved in complement activation and apoptotic-cell clearance.</x:v>
      </x:c>
      <x:c r="M18" s="23" t="str">
        <x:v>High</x:v>
      </x:c>
      <x:c r="N18" s="23" t="str">
        <x:v>C1Q2014; NCCD2018</x:v>
      </x:c>
      <x:c r="O18" s="23" t="str">
        <x:v>https://www.informatics.jax.org/quicksearch/summary?queryType=exactPhrase&amp;query=C1qb</x:v>
      </x:c>
      <x:c r="P18" s="23" t="str">
        <x:v>https://www.uniprot.org/uniprotkb?query=%28gene_exact%3AC1qb%29+AND+%28organism_id%3A10090%29</x:v>
      </x:c>
      <x:c r="Q18" s="23" t="str">
        <x:v>https://www.ncbi.nlm.nih.gov/gene/?term=C1qb%5Bgene%5D%20AND%20Mus%20musculus%5Borgn%5D</x:v>
      </x:c>
      <x:c r="R18" s="23" t="str">
        <x:v>https://reactome.org/content/query?q=C1qb&amp;species=Mus%20musculus</x:v>
      </x:c>
      <x:c r="S18" s="23" t="str">
        <x:v>https://pubmed.ncbi.nlm.nih.gov/?term=(C1qb%5BTitle%2FAbstract%5D)%20AND%20(mouse%20OR%20murine)</x:v>
      </x:c>
      <x:c r="T18" s="23" t="str"/>
    </x:row>
    <x:row r="19">
      <x:c r="A19" s="22" t="n">
        <x:v>16</x:v>
      </x:c>
      <x:c r="B19" s="23" t="str">
        <x:v>C1qc</x:v>
      </x:c>
      <x:c r="C19" s="23" t="str">
        <x:v>C1QC</x:v>
      </x:c>
      <x:c r="D19" s="23" t="str">
        <x:v>Conserved symbol; human ortholog</x:v>
      </x:c>
      <x:c r="E19" s="23" t="str">
        <x:v>No curated metabolic role</x:v>
      </x:c>
      <x:c r="F19" s="23" t="str"/>
      <x:c r="G19" s="23" t="str"/>
      <x:c r="H19" s="23" t="str">
        <x:v>Clearance/cargo/survival relation</x:v>
      </x:c>
      <x:c r="I19" s="23" t="str">
        <x:v>Apoptotic-cell clearance (efferocytosis)</x:v>
      </x:c>
      <x:c r="J19" s="23" t="str">
        <x:v>Post-death recognition/clearance: C1q C-chain is required for the C1q recognition complex that opsonizes apoptotic cells/debris.</x:v>
      </x:c>
      <x:c r="K19" s="23" t="str">
        <x:v>Classical complement; efferocytosis</x:v>
      </x:c>
      <x:c r="L19" s="23" t="str">
        <x:v>C1q C-chain; structural component of the C1q recognition complex involved in complement activation and apoptotic-cell clearance.</x:v>
      </x:c>
      <x:c r="M19" s="23" t="str">
        <x:v>High</x:v>
      </x:c>
      <x:c r="N19" s="23" t="str">
        <x:v>C1Q2014; NCCD2018</x:v>
      </x:c>
      <x:c r="O19" s="23" t="str">
        <x:v>https://www.informatics.jax.org/quicksearch/summary?queryType=exactPhrase&amp;query=C1qc</x:v>
      </x:c>
      <x:c r="P19" s="23" t="str">
        <x:v>https://www.uniprot.org/uniprotkb?query=%28gene_exact%3AC1qc%29+AND+%28organism_id%3A10090%29</x:v>
      </x:c>
      <x:c r="Q19" s="23" t="str">
        <x:v>https://www.ncbi.nlm.nih.gov/gene/?term=C1qc%5Bgene%5D%20AND%20Mus%20musculus%5Borgn%5D</x:v>
      </x:c>
      <x:c r="R19" s="23" t="str">
        <x:v>https://reactome.org/content/query?q=C1qc&amp;species=Mus%20musculus</x:v>
      </x:c>
      <x:c r="S19" s="23" t="str">
        <x:v>https://pubmed.ncbi.nlm.nih.gov/?term=(C1qc%5BTitle%2FAbstract%5D)%20AND%20(mouse%20OR%20murine)</x:v>
      </x:c>
      <x:c r="T19" s="23" t="str"/>
    </x:row>
    <x:row r="20">
      <x:c r="A20" s="22" t="n">
        <x:v>17</x:v>
      </x:c>
      <x:c r="B20" s="23" t="str">
        <x:v>C3</x:v>
      </x:c>
      <x:c r="C20" s="23" t="str">
        <x:v>C3</x:v>
      </x:c>
      <x:c r="D20" s="23" t="str">
        <x:v>Conserved symbol; human ortholog</x:v>
      </x:c>
      <x:c r="E20" s="23" t="str">
        <x:v>No curated metabolic role</x:v>
      </x:c>
      <x:c r="F20" s="23" t="str"/>
      <x:c r="G20" s="23" t="str"/>
      <x:c r="H20" s="23" t="str">
        <x:v>Mechanistic pathway relation</x:v>
      </x:c>
      <x:c r="I20" s="23" t="str">
        <x:v>Complement-dependent cytotoxicity; Apoptotic-cell clearance (efferocytosis)</x:v>
      </x:c>
      <x:c r="J20" s="23" t="str">
        <x:v>Upstream lytic-cascade component: C3 activation deposits C3b and supports C5 convertase formation, enabling terminal membrane-attack-complex-mediated lysis.; Post-death opsonization: C3 fragments can opsonize dying cells and debris for complement-receptor-mediated uptake.</x:v>
      </x:c>
      <x:c r="K20" s="23" t="str">
        <x:v>Complement cascade; opsonization and inflammation</x:v>
      </x:c>
      <x:c r="L20" s="23" t="str">
        <x:v>Central complement component cleaved to C3a and C3b, enabling anaphylatoxin signaling, opsonization and terminal complement activation.</x:v>
      </x:c>
      <x:c r="M20" s="23" t="str">
        <x:v>High</x:v>
      </x:c>
      <x:c r="N20" s="23" t="str">
        <x:v>REACTOME2024; NCCD2018; C1Q2014</x:v>
      </x:c>
      <x:c r="O20" s="23" t="str">
        <x:v>https://www.informatics.jax.org/quicksearch/summary?queryType=exactPhrase&amp;query=C3</x:v>
      </x:c>
      <x:c r="P20" s="23" t="str">
        <x:v>https://www.uniprot.org/uniprotkb?query=%28gene_exact%3AC3%29+AND+%28organism_id%3A10090%29</x:v>
      </x:c>
      <x:c r="Q20" s="23" t="str">
        <x:v>https://www.ncbi.nlm.nih.gov/gene/?term=C3%5Bgene%5D%20AND%20Mus%20musculus%5Borgn%5D</x:v>
      </x:c>
      <x:c r="R20" s="23" t="str">
        <x:v>https://reactome.org/content/query?q=C3&amp;species=Mus%20musculus</x:v>
      </x:c>
      <x:c r="S20" s="23" t="str">
        <x:v>https://pubmed.ncbi.nlm.nih.gov/?term=(C3%5BTitle%2FAbstract%5D)%20AND%20(mouse%20OR%20murine)</x:v>
      </x:c>
      <x:c r="T20" s="23" t="str"/>
    </x:row>
    <x:row r="21">
      <x:c r="A21" s="22" t="n">
        <x:v>18</x:v>
      </x:c>
      <x:c r="B21" s="23" t="str">
        <x:v>Cadm1</x:v>
      </x:c>
      <x:c r="C21" s="23" t="str">
        <x:v>CADM1</x:v>
      </x:c>
      <x:c r="D21" s="23" t="str">
        <x:v>Conserved symbol; human ortholog</x:v>
      </x:c>
      <x:c r="E21" s="23" t="str">
        <x:v>No curated metabolic role</x:v>
      </x:c>
      <x:c r="F21" s="23" t="str"/>
      <x:c r="G21" s="23" t="str"/>
      <x:c r="H21" s="23" t="str">
        <x:v>No curated cell-death relation</x:v>
      </x:c>
      <x:c r="I21" s="23" t="str"/>
      <x:c r="J21" s="23" t="str"/>
      <x:c r="K21" s="23" t="str">
        <x:v>Cell adhesion; immune/neural interactions</x:v>
      </x:c>
      <x:c r="L21" s="23" t="str">
        <x:v>Immunoglobulin-superfamily adhesion molecule supporting cell-cell contacts, polarity and context-dependent immune or neural interactions.</x:v>
      </x:c>
      <x:c r="M21" s="23" t="str">
        <x:v>High</x:v>
      </x:c>
      <x:c r="N21" s="23" t="str"/>
      <x:c r="O21" s="23" t="str">
        <x:v>https://www.informatics.jax.org/quicksearch/summary?queryType=exactPhrase&amp;query=Cadm1</x:v>
      </x:c>
      <x:c r="P21" s="23" t="str">
        <x:v>https://www.uniprot.org/uniprotkb?query=%28gene_exact%3ACadm1%29+AND+%28organism_id%3A10090%29</x:v>
      </x:c>
      <x:c r="Q21" s="23" t="str">
        <x:v>https://www.ncbi.nlm.nih.gov/gene/?term=Cadm1%5Bgene%5D%20AND%20Mus%20musculus%5Borgn%5D</x:v>
      </x:c>
      <x:c r="R21" s="23" t="str">
        <x:v>https://reactome.org/content/query?q=Cadm1&amp;species=Mus%20musculus</x:v>
      </x:c>
      <x:c r="S21" s="23" t="str">
        <x:v>https://pubmed.ncbi.nlm.nih.gov/?term=(Cadm1%5BTitle%2FAbstract%5D)%20AND%20(mouse%20OR%20murine)</x:v>
      </x:c>
      <x:c r="T21" s="23" t="str">
        <x:v>No sufficiently supported metabolism or cell-death role curated</x:v>
      </x:c>
    </x:row>
    <x:row r="22">
      <x:c r="A22" s="22" t="n">
        <x:v>19</x:v>
      </x:c>
      <x:c r="B22" s="23" t="str">
        <x:v>Calr</x:v>
      </x:c>
      <x:c r="C22" s="23" t="str">
        <x:v>CALR</x:v>
      </x:c>
      <x:c r="D22" s="23" t="str">
        <x:v>Conserved symbol; human ortholog</x:v>
      </x:c>
      <x:c r="E22" s="23" t="str">
        <x:v>Direct biochemical/transport role</x:v>
      </x:c>
      <x:c r="F22" s="23" t="str">
        <x:v>Protein turnover, processing and proteostasis: ER glycoprotein folding/quality control; Ion homeostasis: ER calcium storage</x:v>
      </x:c>
      <x:c r="G22" s="23" t="str">
        <x:v>Binds monoglucosylated N-glycans and supports folding/quality control of nascent glycoproteins in the calnexin-calreticulin cycle.; Buffers luminal ER Ca2+ and thereby influences calcium-dependent signaling and stress responses.</x:v>
      </x:c>
      <x:c r="H22" s="23" t="str">
        <x:v>Clearance/cargo/survival relation</x:v>
      </x:c>
      <x:c r="I22" s="23" t="str">
        <x:v>Immunogenic cell death / efferocytosis</x:v>
      </x:c>
      <x:c r="J22" s="23" t="str">
        <x:v>Pre-death eat-me signal: Stress-induced cell-surface CALR exposure promotes dendritic-cell/macrophage uptake of dying cells and contributes to immunogenicity.</x:v>
      </x:c>
      <x:c r="K22" s="23" t="str">
        <x:v>ER proteostasis; calcium homeostasis; immunogenic-cell recognition</x:v>
      </x:c>
      <x:c r="L22" s="23" t="str">
        <x:v>ER lectin chaperone that supports glycoprotein folding and calcium storage; surface-exposed CALR can signal phagocytic uptake of stressed/dying cells.</x:v>
      </x:c>
      <x:c r="M22" s="23" t="str">
        <x:v>High</x:v>
      </x:c>
      <x:c r="N22" s="23" t="str">
        <x:v>UNIPROT2025; REACTOME2024; CALR2007; NCCD2018</x:v>
      </x:c>
      <x:c r="O22" s="23" t="str">
        <x:v>https://www.informatics.jax.org/quicksearch/summary?queryType=exactPhrase&amp;query=Calr</x:v>
      </x:c>
      <x:c r="P22" s="23" t="str">
        <x:v>https://www.uniprot.org/uniprotkb?query=%28gene_exact%3ACalr%29+AND+%28organism_id%3A10090%29</x:v>
      </x:c>
      <x:c r="Q22" s="23" t="str">
        <x:v>https://www.ncbi.nlm.nih.gov/gene/?term=Calr%5Bgene%5D%20AND%20Mus%20musculus%5Borgn%5D</x:v>
      </x:c>
      <x:c r="R22" s="23" t="str">
        <x:v>https://reactome.org/content/query?q=Calr&amp;species=Mus%20musculus</x:v>
      </x:c>
      <x:c r="S22" s="23" t="str">
        <x:v>https://pubmed.ncbi.nlm.nih.gov/?term=(Calr%5BTitle%2FAbstract%5D)%20AND%20(mouse%20OR%20murine)</x:v>
      </x:c>
      <x:c r="T22" s="23" t="str"/>
    </x:row>
    <x:row r="23">
      <x:c r="A23" s="22" t="n">
        <x:v>20</x:v>
      </x:c>
      <x:c r="B23" s="23" t="str">
        <x:v>Camp</x:v>
      </x:c>
      <x:c r="C23" s="23" t="str">
        <x:v>CAMP</x:v>
      </x:c>
      <x:c r="D23" s="23" t="str">
        <x:v>Conserved symbol; human ortholog</x:v>
      </x:c>
      <x:c r="E23" s="23" t="str">
        <x:v>No curated metabolic role</x:v>
      </x:c>
      <x:c r="F23" s="23" t="str"/>
      <x:c r="G23" s="23" t="str"/>
      <x:c r="H23" s="23" t="str">
        <x:v>No curated cell-death relation</x:v>
      </x:c>
      <x:c r="I23" s="23" t="str"/>
      <x:c r="J23" s="23" t="str"/>
      <x:c r="K23" s="23" t="str">
        <x:v>Antimicrobial defense; innate immune modulation</x:v>
      </x:c>
      <x:c r="L23" s="23" t="str">
        <x:v>Cathelicidin precursor yielding a cationic antimicrobial peptide that disrupts microbial membranes and modulates chemotaxis/inflammation.</x:v>
      </x:c>
      <x:c r="M23" s="23" t="str">
        <x:v>High</x:v>
      </x:c>
      <x:c r="N23" s="23" t="str"/>
      <x:c r="O23" s="23" t="str">
        <x:v>https://www.informatics.jax.org/quicksearch/summary?queryType=exactPhrase&amp;query=Camp</x:v>
      </x:c>
      <x:c r="P23" s="23" t="str">
        <x:v>https://www.uniprot.org/uniprotkb?query=%28gene_exact%3ACamp%29+AND+%28organism_id%3A10090%29</x:v>
      </x:c>
      <x:c r="Q23" s="23" t="str">
        <x:v>https://www.ncbi.nlm.nih.gov/gene/?term=Camp%5Bgene%5D%20AND%20Mus%20musculus%5Borgn%5D</x:v>
      </x:c>
      <x:c r="R23" s="23" t="str">
        <x:v>https://reactome.org/content/query?q=Camp&amp;species=Mus%20musculus</x:v>
      </x:c>
      <x:c r="S23" s="23" t="str">
        <x:v>https://pubmed.ncbi.nlm.nih.gov/?term=(Camp%5BTitle%2FAbstract%5D)%20AND%20(mouse%20OR%20murine)</x:v>
      </x:c>
      <x:c r="T23" s="23" t="str">
        <x:v>No sufficiently supported metabolism or cell-death role curated</x:v>
      </x:c>
    </x:row>
    <x:row r="24">
      <x:c r="A24" s="22" t="n">
        <x:v>21</x:v>
      </x:c>
      <x:c r="B24" s="23" t="str">
        <x:v>Capn3</x:v>
      </x:c>
      <x:c r="C24" s="23" t="str">
        <x:v>CAPN3</x:v>
      </x:c>
      <x:c r="D24" s="23" t="str">
        <x:v>Conserved symbol; human ortholog</x:v>
      </x:c>
      <x:c r="E24" s="23" t="str">
        <x:v>Direct biochemical/transport role</x:v>
      </x:c>
      <x:c r="F24" s="23" t="str">
        <x:v>Protein turnover, processing and proteostasis: Calcium-dependent intracellular proteolysis</x:v>
      </x:c>
      <x:c r="G24" s="23" t="str">
        <x:v>Cleaves selected muscle/sarcomeric substrates during calcium-dependent remodeling.</x:v>
      </x:c>
      <x:c r="H24" s="23" t="str">
        <x:v>No curated cell-death relation</x:v>
      </x:c>
      <x:c r="I24" s="23" t="str"/>
      <x:c r="J24" s="23" t="str"/>
      <x:c r="K24" s="23" t="str">
        <x:v>Calcium-dependent proteolysis; muscle homeostasis</x:v>
      </x:c>
      <x:c r="L24" s="23" t="str">
        <x:v>Muscle-enriched calcium-dependent cysteine protease involved in sarcomeric remodeling and protein turnover; expression outside muscle requires caution.</x:v>
      </x:c>
      <x:c r="M24" s="23" t="str">
        <x:v>High</x:v>
      </x:c>
      <x:c r="N24" s="23" t="str">
        <x:v>UNIPROT2025</x:v>
      </x:c>
      <x:c r="O24" s="23" t="str">
        <x:v>https://www.informatics.jax.org/quicksearch/summary?queryType=exactPhrase&amp;query=Capn3</x:v>
      </x:c>
      <x:c r="P24" s="23" t="str">
        <x:v>https://www.uniprot.org/uniprotkb?query=%28gene_exact%3ACapn3%29+AND+%28organism_id%3A10090%29</x:v>
      </x:c>
      <x:c r="Q24" s="23" t="str">
        <x:v>https://www.ncbi.nlm.nih.gov/gene/?term=Capn3%5Bgene%5D%20AND%20Mus%20musculus%5Borgn%5D</x:v>
      </x:c>
      <x:c r="R24" s="23" t="str">
        <x:v>https://reactome.org/content/query?q=Capn3&amp;species=Mus%20musculus</x:v>
      </x:c>
      <x:c r="S24" s="23" t="str">
        <x:v>https://pubmed.ncbi.nlm.nih.gov/?term=(Capn3%5BTitle%2FAbstract%5D)%20AND%20(mouse%20OR%20murine)</x:v>
      </x:c>
      <x:c r="T24" s="23" t="str"/>
    </x:row>
    <x:row r="25">
      <x:c r="A25" s="22" t="n">
        <x:v>22</x:v>
      </x:c>
      <x:c r="B25" s="23" t="str">
        <x:v>Ccl12</x:v>
      </x:c>
      <x:c r="C25" s="23" t="str">
        <x:v>CCL2 (among complex chemokine-family orthologs)</x:v>
      </x:c>
      <x:c r="D25" s="23" t="str">
        <x:v>Complex/many-to-many; not a strict symbol-equivalent</x:v>
      </x:c>
      <x:c r="E25" s="23" t="str">
        <x:v>No curated metabolic role</x:v>
      </x:c>
      <x:c r="F25" s="23" t="str"/>
      <x:c r="G25" s="23" t="str"/>
      <x:c r="H25" s="23" t="str">
        <x:v>No curated cell-death relation</x:v>
      </x:c>
      <x:c r="I25" s="23" t="str"/>
      <x:c r="J25" s="23" t="str"/>
      <x:c r="K25" s="23" t="str">
        <x:v>Chemokine signaling; monocyte/eosinophil recruitment</x:v>
      </x:c>
      <x:c r="L25" s="23" t="str">
        <x:v>Mouse MCP-5 chemokine, chiefly acting through CCR2 to recruit monocytes and other leukocytes in inflammatory settings.</x:v>
      </x:c>
      <x:c r="M25" s="23" t="str">
        <x:v>High</x:v>
      </x:c>
      <x:c r="N25" s="23" t="str"/>
      <x:c r="O25" s="23" t="str">
        <x:v>https://www.informatics.jax.org/quicksearch/summary?queryType=exactPhrase&amp;query=Ccl12</x:v>
      </x:c>
      <x:c r="P25" s="23" t="str">
        <x:v>https://www.uniprot.org/uniprotkb?query=%28gene_exact%3ACcl12%29+AND+%28organism_id%3A10090%29</x:v>
      </x:c>
      <x:c r="Q25" s="23" t="str">
        <x:v>https://www.ncbi.nlm.nih.gov/gene/?term=Ccl12%5Bgene%5D%20AND%20Mus%20musculus%5Borgn%5D</x:v>
      </x:c>
      <x:c r="R25" s="23" t="str">
        <x:v>https://reactome.org/content/query?q=Ccl12&amp;species=Mus%20musculus</x:v>
      </x:c>
      <x:c r="S25" s="23" t="str">
        <x:v>https://pubmed.ncbi.nlm.nih.gov/?term=(Ccl12%5BTitle%2FAbstract%5D)%20AND%20(mouse%20OR%20murine)</x:v>
      </x:c>
      <x:c r="T25" s="23" t="str">
        <x:v>Orthology requires caution; No sufficiently supported metabolism or cell-death role curated</x:v>
      </x:c>
    </x:row>
    <x:row r="26">
      <x:c r="A26" s="22" t="n">
        <x:v>23</x:v>
      </x:c>
      <x:c r="B26" s="23" t="str">
        <x:v>Ccl2</x:v>
      </x:c>
      <x:c r="C26" s="23" t="str">
        <x:v>CCL2</x:v>
      </x:c>
      <x:c r="D26" s="23" t="str">
        <x:v>Conserved symbol; human ortholog</x:v>
      </x:c>
      <x:c r="E26" s="23" t="str">
        <x:v>No curated metabolic role</x:v>
      </x:c>
      <x:c r="F26" s="23" t="str"/>
      <x:c r="G26" s="23" t="str"/>
      <x:c r="H26" s="23" t="str">
        <x:v>No curated cell-death relation</x:v>
      </x:c>
      <x:c r="I26" s="23" t="str"/>
      <x:c r="J26" s="23" t="str"/>
      <x:c r="K26" s="23" t="str">
        <x:v>Chemokine signaling; monocyte recruitment</x:v>
      </x:c>
      <x:c r="L26" s="23" t="str">
        <x:v>CCR2 ligand that recruits monocytes and shapes inflammatory-cell trafficking and tissue infiltration.</x:v>
      </x:c>
      <x:c r="M26" s="23" t="str">
        <x:v>High</x:v>
      </x:c>
      <x:c r="N26" s="23" t="str"/>
      <x:c r="O26" s="23" t="str">
        <x:v>https://www.informatics.jax.org/quicksearch/summary?queryType=exactPhrase&amp;query=Ccl2</x:v>
      </x:c>
      <x:c r="P26" s="23" t="str">
        <x:v>https://www.uniprot.org/uniprotkb?query=%28gene_exact%3ACcl2%29+AND+%28organism_id%3A10090%29</x:v>
      </x:c>
      <x:c r="Q26" s="23" t="str">
        <x:v>https://www.ncbi.nlm.nih.gov/gene/?term=Ccl2%5Bgene%5D%20AND%20Mus%20musculus%5Borgn%5D</x:v>
      </x:c>
      <x:c r="R26" s="23" t="str">
        <x:v>https://reactome.org/content/query?q=Ccl2&amp;species=Mus%20musculus</x:v>
      </x:c>
      <x:c r="S26" s="23" t="str">
        <x:v>https://pubmed.ncbi.nlm.nih.gov/?term=(Ccl2%5BTitle%2FAbstract%5D)%20AND%20(mouse%20OR%20murine)</x:v>
      </x:c>
      <x:c r="T26" s="23" t="str">
        <x:v>No sufficiently supported metabolism or cell-death role curated</x:v>
      </x:c>
    </x:row>
    <x:row r="27">
      <x:c r="A27" s="22" t="n">
        <x:v>24</x:v>
      </x:c>
      <x:c r="B27" s="23" t="str">
        <x:v>Ccr5</x:v>
      </x:c>
      <x:c r="C27" s="23" t="str">
        <x:v>CCR5</x:v>
      </x:c>
      <x:c r="D27" s="23" t="str">
        <x:v>Conserved symbol; human ortholog</x:v>
      </x:c>
      <x:c r="E27" s="23" t="str">
        <x:v>No curated metabolic role</x:v>
      </x:c>
      <x:c r="F27" s="23" t="str"/>
      <x:c r="G27" s="23" t="str"/>
      <x:c r="H27" s="23" t="str">
        <x:v>No curated cell-death relation</x:v>
      </x:c>
      <x:c r="I27" s="23" t="str"/>
      <x:c r="J27" s="23" t="str"/>
      <x:c r="K27" s="23" t="str">
        <x:v>Chemokine-receptor signaling; leukocyte trafficking</x:v>
      </x:c>
      <x:c r="L27" s="23" t="str">
        <x:v>GPCR for CCL3/4/5-family chemokines that directs leukocyte migration and also serves as an HIV-1 co-receptor in humans.</x:v>
      </x:c>
      <x:c r="M27" s="23" t="str">
        <x:v>High</x:v>
      </x:c>
      <x:c r="N27" s="23" t="str"/>
      <x:c r="O27" s="23" t="str">
        <x:v>https://www.informatics.jax.org/quicksearch/summary?queryType=exactPhrase&amp;query=Ccr5</x:v>
      </x:c>
      <x:c r="P27" s="23" t="str">
        <x:v>https://www.uniprot.org/uniprotkb?query=%28gene_exact%3ACcr5%29+AND+%28organism_id%3A10090%29</x:v>
      </x:c>
      <x:c r="Q27" s="23" t="str">
        <x:v>https://www.ncbi.nlm.nih.gov/gene/?term=Ccr5%5Bgene%5D%20AND%20Mus%20musculus%5Borgn%5D</x:v>
      </x:c>
      <x:c r="R27" s="23" t="str">
        <x:v>https://reactome.org/content/query?q=Ccr5&amp;species=Mus%20musculus</x:v>
      </x:c>
      <x:c r="S27" s="23" t="str">
        <x:v>https://pubmed.ncbi.nlm.nih.gov/?term=(Ccr5%5BTitle%2FAbstract%5D)%20AND%20(mouse%20OR%20murine)</x:v>
      </x:c>
      <x:c r="T27" s="23" t="str">
        <x:v>No sufficiently supported metabolism or cell-death role curated</x:v>
      </x:c>
    </x:row>
    <x:row r="28">
      <x:c r="A28" s="22" t="n">
        <x:v>25</x:v>
      </x:c>
      <x:c r="B28" s="23" t="str">
        <x:v>Ccrl2</x:v>
      </x:c>
      <x:c r="C28" s="23" t="str">
        <x:v>CCRL2</x:v>
      </x:c>
      <x:c r="D28" s="23" t="str">
        <x:v>Conserved symbol; human ortholog</x:v>
      </x:c>
      <x:c r="E28" s="23" t="str">
        <x:v>No curated metabolic role</x:v>
      </x:c>
      <x:c r="F28" s="23" t="str"/>
      <x:c r="G28" s="23" t="str"/>
      <x:c r="H28" s="23" t="str">
        <x:v>No curated cell-death relation</x:v>
      </x:c>
      <x:c r="I28" s="23" t="str"/>
      <x:c r="J28" s="23" t="str"/>
      <x:c r="K28" s="23" t="str">
        <x:v>Atypical chemokine-receptor biology</x:v>
      </x:c>
      <x:c r="L28" s="23" t="str">
        <x:v>Noncanonical chemokine receptor/scavenger-like surface protein that presents chemerin and modulates leukocyte positioning without classical G-protein signaling.</x:v>
      </x:c>
      <x:c r="M28" s="23" t="str">
        <x:v>Moderate</x:v>
      </x:c>
      <x:c r="N28" s="23" t="str"/>
      <x:c r="O28" s="23" t="str">
        <x:v>https://www.informatics.jax.org/quicksearch/summary?queryType=exactPhrase&amp;query=Ccrl2</x:v>
      </x:c>
      <x:c r="P28" s="23" t="str">
        <x:v>https://www.uniprot.org/uniprotkb?query=%28gene_exact%3ACcrl2%29+AND+%28organism_id%3A10090%29</x:v>
      </x:c>
      <x:c r="Q28" s="23" t="str">
        <x:v>https://www.ncbi.nlm.nih.gov/gene/?term=Ccrl2%5Bgene%5D%20AND%20Mus%20musculus%5Borgn%5D</x:v>
      </x:c>
      <x:c r="R28" s="23" t="str">
        <x:v>https://reactome.org/content/query?q=Ccrl2&amp;species=Mus%20musculus</x:v>
      </x:c>
      <x:c r="S28" s="23" t="str">
        <x:v>https://pubmed.ncbi.nlm.nih.gov/?term=(Ccrl2%5BTitle%2FAbstract%5D)%20AND%20(mouse%20OR%20murine)</x:v>
      </x:c>
      <x:c r="T28" s="23" t="str">
        <x:v>No sufficiently supported metabolism or cell-death role curated</x:v>
      </x:c>
    </x:row>
    <x:row r="29">
      <x:c r="A29" s="22" t="n">
        <x:v>26</x:v>
      </x:c>
      <x:c r="B29" s="23" t="str">
        <x:v>Cd14</x:v>
      </x:c>
      <x:c r="C29" s="23" t="str">
        <x:v>CD14</x:v>
      </x:c>
      <x:c r="D29" s="23" t="str">
        <x:v>Conserved symbol; human ortholog</x:v>
      </x:c>
      <x:c r="E29" s="23" t="str">
        <x:v>No curated metabolic role</x:v>
      </x:c>
      <x:c r="F29" s="23" t="str"/>
      <x:c r="G29" s="23" t="str"/>
      <x:c r="H29" s="23" t="str">
        <x:v>No curated cell-death relation</x:v>
      </x:c>
      <x:c r="I29" s="23" t="str"/>
      <x:c r="J29" s="23" t="str"/>
      <x:c r="K29" s="23" t="str">
        <x:v>Pattern recognition; LPS sensing</x:v>
      </x:c>
      <x:c r="L29" s="23" t="str">
        <x:v>GPI-anchored or soluble co-receptor that transfers bacterial LPS and other ligands to TLR4/MD2 and facilitates innate immune activation.</x:v>
      </x:c>
      <x:c r="M29" s="23" t="str">
        <x:v>High</x:v>
      </x:c>
      <x:c r="N29" s="23" t="str"/>
      <x:c r="O29" s="23" t="str">
        <x:v>https://www.informatics.jax.org/quicksearch/summary?queryType=exactPhrase&amp;query=Cd14</x:v>
      </x:c>
      <x:c r="P29" s="23" t="str">
        <x:v>https://www.uniprot.org/uniprotkb?query=%28gene_exact%3ACd14%29+AND+%28organism_id%3A10090%29</x:v>
      </x:c>
      <x:c r="Q29" s="23" t="str">
        <x:v>https://www.ncbi.nlm.nih.gov/gene/?term=Cd14%5Bgene%5D%20AND%20Mus%20musculus%5Borgn%5D</x:v>
      </x:c>
      <x:c r="R29" s="23" t="str">
        <x:v>https://reactome.org/content/query?q=Cd14&amp;species=Mus%20musculus</x:v>
      </x:c>
      <x:c r="S29" s="23" t="str">
        <x:v>https://pubmed.ncbi.nlm.nih.gov/?term=(Cd14%5BTitle%2FAbstract%5D)%20AND%20(mouse%20OR%20murine)</x:v>
      </x:c>
      <x:c r="T29" s="23" t="str">
        <x:v>No sufficiently supported metabolism or cell-death role curated</x:v>
      </x:c>
    </x:row>
    <x:row r="30">
      <x:c r="A30" s="22" t="n">
        <x:v>27</x:v>
      </x:c>
      <x:c r="B30" s="23" t="str">
        <x:v>Cd177</x:v>
      </x:c>
      <x:c r="C30" s="23" t="str">
        <x:v>CD177</x:v>
      </x:c>
      <x:c r="D30" s="23" t="str">
        <x:v>Conserved symbol; human ortholog</x:v>
      </x:c>
      <x:c r="E30" s="23" t="str">
        <x:v>No curated metabolic role</x:v>
      </x:c>
      <x:c r="F30" s="23" t="str"/>
      <x:c r="G30" s="23" t="str"/>
      <x:c r="H30" s="23" t="str">
        <x:v>No curated cell-death relation</x:v>
      </x:c>
      <x:c r="I30" s="23" t="str"/>
      <x:c r="J30" s="23" t="str"/>
      <x:c r="K30" s="23" t="str">
        <x:v>Neutrophil adhesion and activation</x:v>
      </x:c>
      <x:c r="L30" s="23" t="str">
        <x:v>GPI-anchored neutrophil glycoprotein that interacts with endothelial PECAM1 and marks a neutrophil subset with altered adhesion/transmigration.</x:v>
      </x:c>
      <x:c r="M30" s="23" t="str">
        <x:v>High</x:v>
      </x:c>
      <x:c r="N30" s="23" t="str"/>
      <x:c r="O30" s="23" t="str">
        <x:v>https://www.informatics.jax.org/quicksearch/summary?queryType=exactPhrase&amp;query=Cd177</x:v>
      </x:c>
      <x:c r="P30" s="23" t="str">
        <x:v>https://www.uniprot.org/uniprotkb?query=%28gene_exact%3ACd177%29+AND+%28organism_id%3A10090%29</x:v>
      </x:c>
      <x:c r="Q30" s="23" t="str">
        <x:v>https://www.ncbi.nlm.nih.gov/gene/?term=Cd177%5Bgene%5D%20AND%20Mus%20musculus%5Borgn%5D</x:v>
      </x:c>
      <x:c r="R30" s="23" t="str">
        <x:v>https://reactome.org/content/query?q=Cd177&amp;species=Mus%20musculus</x:v>
      </x:c>
      <x:c r="S30" s="23" t="str">
        <x:v>https://pubmed.ncbi.nlm.nih.gov/?term=(Cd177%5BTitle%2FAbstract%5D)%20AND%20(mouse%20OR%20murine)</x:v>
      </x:c>
      <x:c r="T30" s="23" t="str">
        <x:v>No sufficiently supported metabolism or cell-death role curated</x:v>
      </x:c>
    </x:row>
    <x:row r="31">
      <x:c r="A31" s="22" t="n">
        <x:v>28</x:v>
      </x:c>
      <x:c r="B31" s="23" t="str">
        <x:v>Cd180</x:v>
      </x:c>
      <x:c r="C31" s="23" t="str">
        <x:v>CD180</x:v>
      </x:c>
      <x:c r="D31" s="23" t="str">
        <x:v>Conserved symbol; human ortholog</x:v>
      </x:c>
      <x:c r="E31" s="23" t="str">
        <x:v>No curated metabolic role</x:v>
      </x:c>
      <x:c r="F31" s="23" t="str"/>
      <x:c r="G31" s="23" t="str"/>
      <x:c r="H31" s="23" t="str">
        <x:v>No curated cell-death relation</x:v>
      </x:c>
      <x:c r="I31" s="23" t="str"/>
      <x:c r="J31" s="23" t="str"/>
      <x:c r="K31" s="23" t="str">
        <x:v>B-cell/myeloid pattern-receptor signaling</x:v>
      </x:c>
      <x:c r="L31" s="23" t="str">
        <x:v>TLR-like surface receptor (RP105) that complexes with MD-1 and modulates B-cell and myeloid responses to microbial ligands.</x:v>
      </x:c>
      <x:c r="M31" s="23" t="str">
        <x:v>High</x:v>
      </x:c>
      <x:c r="N31" s="23" t="str"/>
      <x:c r="O31" s="23" t="str">
        <x:v>https://www.informatics.jax.org/quicksearch/summary?queryType=exactPhrase&amp;query=Cd180</x:v>
      </x:c>
      <x:c r="P31" s="23" t="str">
        <x:v>https://www.uniprot.org/uniprotkb?query=%28gene_exact%3ACd180%29+AND+%28organism_id%3A10090%29</x:v>
      </x:c>
      <x:c r="Q31" s="23" t="str">
        <x:v>https://www.ncbi.nlm.nih.gov/gene/?term=Cd180%5Bgene%5D%20AND%20Mus%20musculus%5Borgn%5D</x:v>
      </x:c>
      <x:c r="R31" s="23" t="str">
        <x:v>https://reactome.org/content/query?q=Cd180&amp;species=Mus%20musculus</x:v>
      </x:c>
      <x:c r="S31" s="23" t="str">
        <x:v>https://pubmed.ncbi.nlm.nih.gov/?term=(Cd180%5BTitle%2FAbstract%5D)%20AND%20(mouse%20OR%20murine)</x:v>
      </x:c>
      <x:c r="T31" s="23" t="str">
        <x:v>No sufficiently supported metabolism or cell-death role curated</x:v>
      </x:c>
    </x:row>
    <x:row r="32">
      <x:c r="A32" s="22" t="n">
        <x:v>29</x:v>
      </x:c>
      <x:c r="B32" s="23" t="str">
        <x:v>Cd33</x:v>
      </x:c>
      <x:c r="C32" s="23" t="str">
        <x:v>CD33</x:v>
      </x:c>
      <x:c r="D32" s="23" t="str">
        <x:v>Conserved symbol; human ortholog</x:v>
      </x:c>
      <x:c r="E32" s="23" t="str">
        <x:v>No curated metabolic role</x:v>
      </x:c>
      <x:c r="F32" s="23" t="str"/>
      <x:c r="G32" s="23" t="str"/>
      <x:c r="H32" s="23" t="str">
        <x:v>No curated cell-death relation</x:v>
      </x:c>
      <x:c r="I32" s="23" t="str"/>
      <x:c r="J32" s="23" t="str"/>
      <x:c r="K32" s="23" t="str">
        <x:v>Inhibitory Siglec signaling</x:v>
      </x:c>
      <x:c r="L32" s="23" t="str">
        <x:v>Sialic-acid-binding inhibitory receptor on myeloid cells that recruits phosphatases through an ITIM-like cytoplasmic motif.</x:v>
      </x:c>
      <x:c r="M32" s="23" t="str">
        <x:v>High</x:v>
      </x:c>
      <x:c r="N32" s="23" t="str"/>
      <x:c r="O32" s="23" t="str">
        <x:v>https://www.informatics.jax.org/quicksearch/summary?queryType=exactPhrase&amp;query=Cd33</x:v>
      </x:c>
      <x:c r="P32" s="23" t="str">
        <x:v>https://www.uniprot.org/uniprotkb?query=%28gene_exact%3ACd33%29+AND+%28organism_id%3A10090%29</x:v>
      </x:c>
      <x:c r="Q32" s="23" t="str">
        <x:v>https://www.ncbi.nlm.nih.gov/gene/?term=Cd33%5Bgene%5D%20AND%20Mus%20musculus%5Borgn%5D</x:v>
      </x:c>
      <x:c r="R32" s="23" t="str">
        <x:v>https://reactome.org/content/query?q=Cd33&amp;species=Mus%20musculus</x:v>
      </x:c>
      <x:c r="S32" s="23" t="str">
        <x:v>https://pubmed.ncbi.nlm.nih.gov/?term=(Cd33%5BTitle%2FAbstract%5D)%20AND%20(mouse%20OR%20murine)</x:v>
      </x:c>
      <x:c r="T32" s="23" t="str">
        <x:v>No sufficiently supported metabolism or cell-death role curated</x:v>
      </x:c>
    </x:row>
    <x:row r="33">
      <x:c r="A33" s="22" t="n">
        <x:v>30</x:v>
      </x:c>
      <x:c r="B33" s="23" t="str">
        <x:v>Cd52</x:v>
      </x:c>
      <x:c r="C33" s="23" t="str">
        <x:v>CD52</x:v>
      </x:c>
      <x:c r="D33" s="23" t="str">
        <x:v>Conserved symbol; human ortholog</x:v>
      </x:c>
      <x:c r="E33" s="23" t="str">
        <x:v>No curated metabolic role</x:v>
      </x:c>
      <x:c r="F33" s="23" t="str"/>
      <x:c r="G33" s="23" t="str"/>
      <x:c r="H33" s="23" t="str">
        <x:v>No curated cell-death relation</x:v>
      </x:c>
      <x:c r="I33" s="23" t="str"/>
      <x:c r="J33" s="23" t="str"/>
      <x:c r="K33" s="23" t="str">
        <x:v>Lymphoid/myeloid surface antigen</x:v>
      </x:c>
      <x:c r="L33" s="23" t="str">
        <x:v>Small GPI-anchored glycoprotein abundant on leukocytes; antibody ligation causes immune-cell depletion, while endogenous signaling remains incompletely defined.</x:v>
      </x:c>
      <x:c r="M33" s="23" t="str">
        <x:v>Moderate</x:v>
      </x:c>
      <x:c r="N33" s="23" t="str"/>
      <x:c r="O33" s="23" t="str">
        <x:v>https://www.informatics.jax.org/quicksearch/summary?queryType=exactPhrase&amp;query=Cd52</x:v>
      </x:c>
      <x:c r="P33" s="23" t="str">
        <x:v>https://www.uniprot.org/uniprotkb?query=%28gene_exact%3ACd52%29+AND+%28organism_id%3A10090%29</x:v>
      </x:c>
      <x:c r="Q33" s="23" t="str">
        <x:v>https://www.ncbi.nlm.nih.gov/gene/?term=Cd52%5Bgene%5D%20AND%20Mus%20musculus%5Borgn%5D</x:v>
      </x:c>
      <x:c r="R33" s="23" t="str">
        <x:v>https://reactome.org/content/query?q=Cd52&amp;species=Mus%20musculus</x:v>
      </x:c>
      <x:c r="S33" s="23" t="str">
        <x:v>https://pubmed.ncbi.nlm.nih.gov/?term=(Cd52%5BTitle%2FAbstract%5D)%20AND%20(mouse%20OR%20murine)</x:v>
      </x:c>
      <x:c r="T33" s="23" t="str">
        <x:v>No sufficiently supported metabolism or cell-death role curated</x:v>
      </x:c>
    </x:row>
    <x:row r="34">
      <x:c r="A34" s="22" t="n">
        <x:v>31</x:v>
      </x:c>
      <x:c r="B34" s="23" t="str">
        <x:v>Cd68</x:v>
      </x:c>
      <x:c r="C34" s="23" t="str">
        <x:v>CD68</x:v>
      </x:c>
      <x:c r="D34" s="23" t="str">
        <x:v>Conserved symbol; human ortholog</x:v>
      </x:c>
      <x:c r="E34" s="23" t="str">
        <x:v>No curated metabolic role</x:v>
      </x:c>
      <x:c r="F34" s="23" t="str"/>
      <x:c r="G34" s="23" t="str"/>
      <x:c r="H34" s="23" t="str">
        <x:v>No curated cell-death relation</x:v>
      </x:c>
      <x:c r="I34" s="23" t="str"/>
      <x:c r="J34" s="23" t="str"/>
      <x:c r="K34" s="23" t="str">
        <x:v>Lysosome/endosome biology; macrophage marker</x:v>
      </x:c>
      <x:c r="L34" s="23" t="str">
        <x:v>Heavily glycosylated lysosomal/endosomal membrane protein enriched in macrophages and phagocytic cells; functional role is less specific than its marker use.</x:v>
      </x:c>
      <x:c r="M34" s="23" t="str">
        <x:v>Moderate</x:v>
      </x:c>
      <x:c r="N34" s="23" t="str"/>
      <x:c r="O34" s="23" t="str">
        <x:v>https://www.informatics.jax.org/quicksearch/summary?queryType=exactPhrase&amp;query=Cd68</x:v>
      </x:c>
      <x:c r="P34" s="23" t="str">
        <x:v>https://www.uniprot.org/uniprotkb?query=%28gene_exact%3ACd68%29+AND+%28organism_id%3A10090%29</x:v>
      </x:c>
      <x:c r="Q34" s="23" t="str">
        <x:v>https://www.ncbi.nlm.nih.gov/gene/?term=Cd68%5Bgene%5D%20AND%20Mus%20musculus%5Borgn%5D</x:v>
      </x:c>
      <x:c r="R34" s="23" t="str">
        <x:v>https://reactome.org/content/query?q=Cd68&amp;species=Mus%20musculus</x:v>
      </x:c>
      <x:c r="S34" s="23" t="str">
        <x:v>https://pubmed.ncbi.nlm.nih.gov/?term=(Cd68%5BTitle%2FAbstract%5D)%20AND%20(mouse%20OR%20murine)</x:v>
      </x:c>
      <x:c r="T34" s="23" t="str">
        <x:v>No sufficiently supported metabolism or cell-death role curated</x:v>
      </x:c>
    </x:row>
    <x:row r="35">
      <x:c r="A35" s="22" t="n">
        <x:v>32</x:v>
      </x:c>
      <x:c r="B35" s="23" t="str">
        <x:v>Cd72</x:v>
      </x:c>
      <x:c r="C35" s="23" t="str">
        <x:v>CD72</x:v>
      </x:c>
      <x:c r="D35" s="23" t="str">
        <x:v>Conserved symbol; human ortholog</x:v>
      </x:c>
      <x:c r="E35" s="23" t="str">
        <x:v>No curated metabolic role</x:v>
      </x:c>
      <x:c r="F35" s="23" t="str"/>
      <x:c r="G35" s="23" t="str"/>
      <x:c r="H35" s="23" t="str">
        <x:v>No curated cell-death relation</x:v>
      </x:c>
      <x:c r="I35" s="23" t="str"/>
      <x:c r="J35" s="23" t="str"/>
      <x:c r="K35" s="23" t="str">
        <x:v>B-cell co-receptor signaling</x:v>
      </x:c>
      <x:c r="L35" s="23" t="str">
        <x:v>Type-II membrane C-type lectin-like receptor that negatively or positively tunes B-cell receptor signaling depending on ligand/context.</x:v>
      </x:c>
      <x:c r="M35" s="23" t="str">
        <x:v>High</x:v>
      </x:c>
      <x:c r="N35" s="23" t="str"/>
      <x:c r="O35" s="23" t="str">
        <x:v>https://www.informatics.jax.org/quicksearch/summary?queryType=exactPhrase&amp;query=Cd72</x:v>
      </x:c>
      <x:c r="P35" s="23" t="str">
        <x:v>https://www.uniprot.org/uniprotkb?query=%28gene_exact%3ACd72%29+AND+%28organism_id%3A10090%29</x:v>
      </x:c>
      <x:c r="Q35" s="23" t="str">
        <x:v>https://www.ncbi.nlm.nih.gov/gene/?term=Cd72%5Bgene%5D%20AND%20Mus%20musculus%5Borgn%5D</x:v>
      </x:c>
      <x:c r="R35" s="23" t="str">
        <x:v>https://reactome.org/content/query?q=Cd72&amp;species=Mus%20musculus</x:v>
      </x:c>
      <x:c r="S35" s="23" t="str">
        <x:v>https://pubmed.ncbi.nlm.nih.gov/?term=(Cd72%5BTitle%2FAbstract%5D)%20AND%20(mouse%20OR%20murine)</x:v>
      </x:c>
      <x:c r="T35" s="23" t="str">
        <x:v>No sufficiently supported metabolism or cell-death role curated</x:v>
      </x:c>
    </x:row>
    <x:row r="36">
      <x:c r="A36" s="22" t="n">
        <x:v>33</x:v>
      </x:c>
      <x:c r="B36" s="23" t="str">
        <x:v>Cd74</x:v>
      </x:c>
      <x:c r="C36" s="23" t="str">
        <x:v>CD74</x:v>
      </x:c>
      <x:c r="D36" s="23" t="str">
        <x:v>Conserved symbol; human ortholog</x:v>
      </x:c>
      <x:c r="E36" s="23" t="str">
        <x:v>No curated metabolic role</x:v>
      </x:c>
      <x:c r="F36" s="23" t="str"/>
      <x:c r="G36" s="23" t="str"/>
      <x:c r="H36" s="23" t="str">
        <x:v>No curated cell-death relation</x:v>
      </x:c>
      <x:c r="I36" s="23" t="str"/>
      <x:c r="J36" s="23" t="str"/>
      <x:c r="K36" s="23" t="str">
        <x:v>MHC-II antigen processing; MIF signaling</x:v>
      </x:c>
      <x:c r="L36" s="23" t="str">
        <x:v>Invariant chain that chaperones MHC-II to endolysosomes and is processed to permit peptide loading; also functions as a MIF receptor component.</x:v>
      </x:c>
      <x:c r="M36" s="23" t="str">
        <x:v>High</x:v>
      </x:c>
      <x:c r="N36" s="23" t="str"/>
      <x:c r="O36" s="23" t="str">
        <x:v>https://www.informatics.jax.org/quicksearch/summary?queryType=exactPhrase&amp;query=Cd74</x:v>
      </x:c>
      <x:c r="P36" s="23" t="str">
        <x:v>https://www.uniprot.org/uniprotkb?query=%28gene_exact%3ACd74%29+AND+%28organism_id%3A10090%29</x:v>
      </x:c>
      <x:c r="Q36" s="23" t="str">
        <x:v>https://www.ncbi.nlm.nih.gov/gene/?term=Cd74%5Bgene%5D%20AND%20Mus%20musculus%5Borgn%5D</x:v>
      </x:c>
      <x:c r="R36" s="23" t="str">
        <x:v>https://reactome.org/content/query?q=Cd74&amp;species=Mus%20musculus</x:v>
      </x:c>
      <x:c r="S36" s="23" t="str">
        <x:v>https://pubmed.ncbi.nlm.nih.gov/?term=(Cd74%5BTitle%2FAbstract%5D)%20AND%20(mouse%20OR%20murine)</x:v>
      </x:c>
      <x:c r="T36" s="23" t="str">
        <x:v>No sufficiently supported metabolism or cell-death role curated</x:v>
      </x:c>
    </x:row>
    <x:row r="37">
      <x:c r="A37" s="22" t="n">
        <x:v>34</x:v>
      </x:c>
      <x:c r="B37" s="23" t="str">
        <x:v>Cd84</x:v>
      </x:c>
      <x:c r="C37" s="23" t="str">
        <x:v>CD84</x:v>
      </x:c>
      <x:c r="D37" s="23" t="str">
        <x:v>Conserved symbol; human ortholog</x:v>
      </x:c>
      <x:c r="E37" s="23" t="str">
        <x:v>No curated metabolic role</x:v>
      </x:c>
      <x:c r="F37" s="23" t="str"/>
      <x:c r="G37" s="23" t="str"/>
      <x:c r="H37" s="23" t="str">
        <x:v>No curated cell-death relation</x:v>
      </x:c>
      <x:c r="I37" s="23" t="str"/>
      <x:c r="J37" s="23" t="str"/>
      <x:c r="K37" s="23" t="str">
        <x:v>SLAM-family adhesion and immune signaling</x:v>
      </x:c>
      <x:c r="L37" s="23" t="str">
        <x:v>Homophilic SLAM-family receptor regulating leukocyte adhesion and activation through adaptor-dependent signaling.</x:v>
      </x:c>
      <x:c r="M37" s="23" t="str">
        <x:v>Moderate</x:v>
      </x:c>
      <x:c r="N37" s="23" t="str"/>
      <x:c r="O37" s="23" t="str">
        <x:v>https://www.informatics.jax.org/quicksearch/summary?queryType=exactPhrase&amp;query=Cd84</x:v>
      </x:c>
      <x:c r="P37" s="23" t="str">
        <x:v>https://www.uniprot.org/uniprotkb?query=%28gene_exact%3ACd84%29+AND+%28organism_id%3A10090%29</x:v>
      </x:c>
      <x:c r="Q37" s="23" t="str">
        <x:v>https://www.ncbi.nlm.nih.gov/gene/?term=Cd84%5Bgene%5D%20AND%20Mus%20musculus%5Borgn%5D</x:v>
      </x:c>
      <x:c r="R37" s="23" t="str">
        <x:v>https://reactome.org/content/query?q=Cd84&amp;species=Mus%20musculus</x:v>
      </x:c>
      <x:c r="S37" s="23" t="str">
        <x:v>https://pubmed.ncbi.nlm.nih.gov/?term=(Cd84%5BTitle%2FAbstract%5D)%20AND%20(mouse%20OR%20murine)</x:v>
      </x:c>
      <x:c r="T37" s="23" t="str">
        <x:v>No sufficiently supported metabolism or cell-death role curated</x:v>
      </x:c>
    </x:row>
    <x:row r="38">
      <x:c r="A38" s="22" t="n">
        <x:v>35</x:v>
      </x:c>
      <x:c r="B38" s="23" t="str">
        <x:v>Cebpa</x:v>
      </x:c>
      <x:c r="C38" s="23" t="str">
        <x:v>CEBPA</x:v>
      </x:c>
      <x:c r="D38" s="23" t="str">
        <x:v>Conserved symbol; human ortholog</x:v>
      </x:c>
      <x:c r="E38" s="23" t="str">
        <x:v>Regulatory/contextual metabolic role</x:v>
      </x:c>
      <x:c r="F38" s="23" t="str">
        <x:v>Metabolic regulation and nutrient sensing: Adipogenesis and lipid-storage transcription</x:v>
      </x:c>
      <x:c r="G38" s="23" t="str">
        <x:v>Drives adipocyte differentiation and expression of genes supporting lipid uptake/storage; also controls myeloid lineage programs.</x:v>
      </x:c>
      <x:c r="H38" s="23" t="str">
        <x:v>No curated cell-death relation</x:v>
      </x:c>
      <x:c r="I38" s="23" t="str"/>
      <x:c r="J38" s="23" t="str"/>
      <x:c r="K38" s="23" t="str">
        <x:v>Myeloid/adipocyte differentiation; transcription</x:v>
      </x:c>
      <x:c r="L38" s="23" t="str">
        <x:v>Lineage-determining transcription factor required for granulocytic differentiation and adipogenesis; regulates broad cell-identity and metabolic programs.</x:v>
      </x:c>
      <x:c r="M38" s="23" t="str">
        <x:v>High</x:v>
      </x:c>
      <x:c r="N38" s="23" t="str">
        <x:v>REACTOME2024</x:v>
      </x:c>
      <x:c r="O38" s="23" t="str">
        <x:v>https://www.informatics.jax.org/quicksearch/summary?queryType=exactPhrase&amp;query=Cebpa</x:v>
      </x:c>
      <x:c r="P38" s="23" t="str">
        <x:v>https://www.uniprot.org/uniprotkb?query=%28gene_exact%3ACebpa%29+AND+%28organism_id%3A10090%29</x:v>
      </x:c>
      <x:c r="Q38" s="23" t="str">
        <x:v>https://www.ncbi.nlm.nih.gov/gene/?term=Cebpa%5Bgene%5D%20AND%20Mus%20musculus%5Borgn%5D</x:v>
      </x:c>
      <x:c r="R38" s="23" t="str">
        <x:v>https://reactome.org/content/query?q=Cebpa&amp;species=Mus%20musculus</x:v>
      </x:c>
      <x:c r="S38" s="23" t="str">
        <x:v>https://pubmed.ncbi.nlm.nih.gov/?term=(Cebpa%5BTitle%2FAbstract%5D)%20AND%20(mouse%20OR%20murine)</x:v>
      </x:c>
      <x:c r="T38" s="23" t="str"/>
    </x:row>
    <x:row r="39">
      <x:c r="A39" s="22" t="n">
        <x:v>36</x:v>
      </x:c>
      <x:c r="B39" s="23" t="str">
        <x:v>Chil3</x:v>
      </x:c>
      <x:c r="C39" s="23" t="str">
        <x:v>CHI3L1/CHIT1 (family analogs)</x:v>
      </x:c>
      <x:c r="D39" s="23" t="str">
        <x:v>No strict one-to-one ortholog</x:v>
      </x:c>
      <x:c r="E39" s="23" t="str">
        <x:v>No curated metabolic role</x:v>
      </x:c>
      <x:c r="F39" s="23" t="str"/>
      <x:c r="G39" s="23" t="str"/>
      <x:c r="H39" s="23" t="str">
        <x:v>No curated cell-death relation</x:v>
      </x:c>
      <x:c r="I39" s="23" t="str"/>
      <x:c r="J39" s="23" t="str"/>
      <x:c r="K39" s="23" t="str">
        <x:v>Type-2 inflammation; tissue remodeling</x:v>
      </x:c>
      <x:c r="L39" s="23" t="str">
        <x:v>Mouse chitinase-like protein Ym1 lacking demonstrated chitinase catalytic activity; secreted by activated myeloid cells in type-2 inflammation.</x:v>
      </x:c>
      <x:c r="M39" s="23" t="str">
        <x:v>High</x:v>
      </x:c>
      <x:c r="N39" s="23" t="str"/>
      <x:c r="O39" s="23" t="str">
        <x:v>https://www.informatics.jax.org/quicksearch/summary?queryType=exactPhrase&amp;query=Chil3</x:v>
      </x:c>
      <x:c r="P39" s="23" t="str">
        <x:v>https://www.uniprot.org/uniprotkb?query=%28gene_exact%3AChil3%29+AND+%28organism_id%3A10090%29</x:v>
      </x:c>
      <x:c r="Q39" s="23" t="str">
        <x:v>https://www.ncbi.nlm.nih.gov/gene/?term=Chil3%5Bgene%5D%20AND%20Mus%20musculus%5Borgn%5D</x:v>
      </x:c>
      <x:c r="R39" s="23" t="str">
        <x:v>https://reactome.org/content/query?q=Chil3&amp;species=Mus%20musculus</x:v>
      </x:c>
      <x:c r="S39" s="23" t="str">
        <x:v>https://pubmed.ncbi.nlm.nih.gov/?term=(Chil3%5BTitle%2FAbstract%5D)%20AND%20(mouse%20OR%20murine)</x:v>
      </x:c>
      <x:c r="T39" s="23" t="str">
        <x:v>Orthology requires caution; No sufficiently supported metabolism or cell-death role curated</x:v>
      </x:c>
    </x:row>
    <x:row r="40">
      <x:c r="A40" s="22" t="n">
        <x:v>37</x:v>
      </x:c>
      <x:c r="B40" s="23" t="str">
        <x:v>Cmklr1</x:v>
      </x:c>
      <x:c r="C40" s="23" t="str">
        <x:v>CMKLR1</x:v>
      </x:c>
      <x:c r="D40" s="23" t="str">
        <x:v>Conserved symbol; human ortholog</x:v>
      </x:c>
      <x:c r="E40" s="23" t="str">
        <x:v>Regulatory/contextual metabolic role</x:v>
      </x:c>
      <x:c r="F40" s="23" t="str">
        <x:v>Metabolic regulation and nutrient sensing: Adipokine/chemerin signaling</x:v>
      </x:c>
      <x:c r="G40" s="23" t="str">
        <x:v>Chemerin receptor signaling can alter adipocyte function, insulin sensitivity and inflammatory metabolism.</x:v>
      </x:c>
      <x:c r="H40" s="23" t="str">
        <x:v>No curated cell-death relation</x:v>
      </x:c>
      <x:c r="I40" s="23" t="str"/>
      <x:c r="J40" s="23" t="str"/>
      <x:c r="K40" s="23" t="str">
        <x:v>Chemerin receptor; chemotaxis and adipokine signaling</x:v>
      </x:c>
      <x:c r="L40" s="23" t="str">
        <x:v>Gi-coupled receptor for chemerin and resolvin E1, controlling migration and context-dependent inflammatory/metabolic signaling.</x:v>
      </x:c>
      <x:c r="M40" s="23" t="str">
        <x:v>High</x:v>
      </x:c>
      <x:c r="N40" s="23" t="str">
        <x:v>UNIPROT2025</x:v>
      </x:c>
      <x:c r="O40" s="23" t="str">
        <x:v>https://www.informatics.jax.org/quicksearch/summary?queryType=exactPhrase&amp;query=Cmklr1</x:v>
      </x:c>
      <x:c r="P40" s="23" t="str">
        <x:v>https://www.uniprot.org/uniprotkb?query=%28gene_exact%3ACmklr1%29+AND+%28organism_id%3A10090%29</x:v>
      </x:c>
      <x:c r="Q40" s="23" t="str">
        <x:v>https://www.ncbi.nlm.nih.gov/gene/?term=Cmklr1%5Bgene%5D%20AND%20Mus%20musculus%5Borgn%5D</x:v>
      </x:c>
      <x:c r="R40" s="23" t="str">
        <x:v>https://reactome.org/content/query?q=Cmklr1&amp;species=Mus%20musculus</x:v>
      </x:c>
      <x:c r="S40" s="23" t="str">
        <x:v>https://pubmed.ncbi.nlm.nih.gov/?term=(Cmklr1%5BTitle%2FAbstract%5D)%20AND%20(mouse%20OR%20murine)</x:v>
      </x:c>
      <x:c r="T40" s="23" t="str"/>
    </x:row>
    <x:row r="41">
      <x:c r="A41" s="22" t="n">
        <x:v>38</x:v>
      </x:c>
      <x:c r="B41" s="23" t="str">
        <x:v>Cndp2</x:v>
      </x:c>
      <x:c r="C41" s="23" t="str">
        <x:v>CNDP2</x:v>
      </x:c>
      <x:c r="D41" s="23" t="str">
        <x:v>Conserved symbol; human ortholog</x:v>
      </x:c>
      <x:c r="E41" s="23" t="str">
        <x:v>Direct biochemical/transport role</x:v>
      </x:c>
      <x:c r="F41" s="23" t="str">
        <x:v>Amino-acid and peptide metabolism: Cytosolic dipeptide hydrolysis</x:v>
      </x:c>
      <x:c r="G41" s="23" t="str">
        <x:v>Hydrolyzes diverse cytosolic dipeptides, including carnosine-related substrates, releasing constituent amino acids.</x:v>
      </x:c>
      <x:c r="H41" s="23" t="str">
        <x:v>No curated cell-death relation</x:v>
      </x:c>
      <x:c r="I41" s="23" t="str"/>
      <x:c r="J41" s="23" t="str"/>
      <x:c r="K41" s="23" t="str">
        <x:v>Peptide and amino-acid metabolism</x:v>
      </x:c>
      <x:c r="L41" s="23" t="str">
        <x:v>Cytosolic nonspecific dipeptidase/metallopeptidase that hydrolyzes multiple dipeptides, including carnosine-related substrates.</x:v>
      </x:c>
      <x:c r="M41" s="23" t="str">
        <x:v>High</x:v>
      </x:c>
      <x:c r="N41" s="23" t="str">
        <x:v>UNIPROT2025; REACTOME2024</x:v>
      </x:c>
      <x:c r="O41" s="23" t="str">
        <x:v>https://www.informatics.jax.org/quicksearch/summary?queryType=exactPhrase&amp;query=Cndp2</x:v>
      </x:c>
      <x:c r="P41" s="23" t="str">
        <x:v>https://www.uniprot.org/uniprotkb?query=%28gene_exact%3ACndp2%29+AND+%28organism_id%3A10090%29</x:v>
      </x:c>
      <x:c r="Q41" s="23" t="str">
        <x:v>https://www.ncbi.nlm.nih.gov/gene/?term=Cndp2%5Bgene%5D%20AND%20Mus%20musculus%5Borgn%5D</x:v>
      </x:c>
      <x:c r="R41" s="23" t="str">
        <x:v>https://reactome.org/content/query?q=Cndp2&amp;species=Mus%20musculus</x:v>
      </x:c>
      <x:c r="S41" s="23" t="str">
        <x:v>https://pubmed.ncbi.nlm.nih.gov/?term=(Cndp2%5BTitle%2FAbstract%5D)%20AND%20(mouse%20OR%20murine)</x:v>
      </x:c>
      <x:c r="T41" s="23" t="str"/>
    </x:row>
    <x:row r="42">
      <x:c r="A42" s="22" t="n">
        <x:v>39</x:v>
      </x:c>
      <x:c r="B42" s="23" t="str">
        <x:v>Csf1r</x:v>
      </x:c>
      <x:c r="C42" s="23" t="str">
        <x:v>CSF1R</x:v>
      </x:c>
      <x:c r="D42" s="23" t="str">
        <x:v>Conserved symbol; human ortholog</x:v>
      </x:c>
      <x:c r="E42" s="23" t="str">
        <x:v>No curated metabolic role</x:v>
      </x:c>
      <x:c r="F42" s="23" t="str"/>
      <x:c r="G42" s="23" t="str"/>
      <x:c r="H42" s="23" t="str">
        <x:v>No curated cell-death relation</x:v>
      </x:c>
      <x:c r="I42" s="23" t="str"/>
      <x:c r="J42" s="23" t="str"/>
      <x:c r="K42" s="23" t="str">
        <x:v>Macrophage development and survival</x:v>
      </x:c>
      <x:c r="L42" s="23" t="str">
        <x:v>Receptor tyrosine kinase for CSF1 and IL34, essential for mononuclear-phagocyte differentiation, proliferation and survival.</x:v>
      </x:c>
      <x:c r="M42" s="23" t="str">
        <x:v>High</x:v>
      </x:c>
      <x:c r="N42" s="23" t="str"/>
      <x:c r="O42" s="23" t="str">
        <x:v>https://www.informatics.jax.org/quicksearch/summary?queryType=exactPhrase&amp;query=Csf1r</x:v>
      </x:c>
      <x:c r="P42" s="23" t="str">
        <x:v>https://www.uniprot.org/uniprotkb?query=%28gene_exact%3ACsf1r%29+AND+%28organism_id%3A10090%29</x:v>
      </x:c>
      <x:c r="Q42" s="23" t="str">
        <x:v>https://www.ncbi.nlm.nih.gov/gene/?term=Csf1r%5Bgene%5D%20AND%20Mus%20musculus%5Borgn%5D</x:v>
      </x:c>
      <x:c r="R42" s="23" t="str">
        <x:v>https://reactome.org/content/query?q=Csf1r&amp;species=Mus%20musculus</x:v>
      </x:c>
      <x:c r="S42" s="23" t="str">
        <x:v>https://pubmed.ncbi.nlm.nih.gov/?term=(Csf1r%5BTitle%2FAbstract%5D)%20AND%20(mouse%20OR%20murine)</x:v>
      </x:c>
      <x:c r="T42" s="23" t="str">
        <x:v>No sufficiently supported metabolism or cell-death role curated</x:v>
      </x:c>
    </x:row>
    <x:row r="43">
      <x:c r="A43" s="22" t="n">
        <x:v>40</x:v>
      </x:c>
      <x:c r="B43" s="23" t="str">
        <x:v>Csf2rb</x:v>
      </x:c>
      <x:c r="C43" s="23" t="str">
        <x:v>CSF2RB</x:v>
      </x:c>
      <x:c r="D43" s="23" t="str">
        <x:v>Conserved symbol; human ortholog</x:v>
      </x:c>
      <x:c r="E43" s="23" t="str">
        <x:v>No curated metabolic role</x:v>
      </x:c>
      <x:c r="F43" s="23" t="str"/>
      <x:c r="G43" s="23" t="str"/>
      <x:c r="H43" s="23" t="str">
        <x:v>No curated cell-death relation</x:v>
      </x:c>
      <x:c r="I43" s="23" t="str"/>
      <x:c r="J43" s="23" t="str"/>
      <x:c r="K43" s="23" t="str">
        <x:v>GM-CSF/IL-3/IL-5 receptor signaling</x:v>
      </x:c>
      <x:c r="L43" s="23" t="str">
        <x:v>Shared beta-chain of cytokine receptors that activates JAK2-STAT, MAPK and PI3K pathways in myeloid cells.</x:v>
      </x:c>
      <x:c r="M43" s="23" t="str">
        <x:v>High</x:v>
      </x:c>
      <x:c r="N43" s="23" t="str"/>
      <x:c r="O43" s="23" t="str">
        <x:v>https://www.informatics.jax.org/quicksearch/summary?queryType=exactPhrase&amp;query=Csf2rb</x:v>
      </x:c>
      <x:c r="P43" s="23" t="str">
        <x:v>https://www.uniprot.org/uniprotkb?query=%28gene_exact%3ACsf2rb%29+AND+%28organism_id%3A10090%29</x:v>
      </x:c>
      <x:c r="Q43" s="23" t="str">
        <x:v>https://www.ncbi.nlm.nih.gov/gene/?term=Csf2rb%5Bgene%5D%20AND%20Mus%20musculus%5Borgn%5D</x:v>
      </x:c>
      <x:c r="R43" s="23" t="str">
        <x:v>https://reactome.org/content/query?q=Csf2rb&amp;species=Mus%20musculus</x:v>
      </x:c>
      <x:c r="S43" s="23" t="str">
        <x:v>https://pubmed.ncbi.nlm.nih.gov/?term=(Csf2rb%5BTitle%2FAbstract%5D)%20AND%20(mouse%20OR%20murine)</x:v>
      </x:c>
      <x:c r="T43" s="23" t="str">
        <x:v>No sufficiently supported metabolism or cell-death role curated</x:v>
      </x:c>
    </x:row>
    <x:row r="44">
      <x:c r="A44" s="22" t="n">
        <x:v>41</x:v>
      </x:c>
      <x:c r="B44" s="23" t="str">
        <x:v>Csf2rb2</x:v>
      </x:c>
      <x:c r="C44" s="23" t="str">
        <x:v>CSF2RB</x:v>
      </x:c>
      <x:c r="D44" s="23" t="str">
        <x:v>Co-ortholog/paralog mapping</x:v>
      </x:c>
      <x:c r="E44" s="23" t="str">
        <x:v>No curated metabolic role</x:v>
      </x:c>
      <x:c r="F44" s="23" t="str"/>
      <x:c r="G44" s="23" t="str"/>
      <x:c r="H44" s="23" t="str">
        <x:v>No curated cell-death relation</x:v>
      </x:c>
      <x:c r="I44" s="23" t="str"/>
      <x:c r="J44" s="23" t="str"/>
      <x:c r="K44" s="23" t="str">
        <x:v>Cytokine-receptor signaling (mouse paralog)</x:v>
      </x:c>
      <x:c r="L44" s="23" t="str">
        <x:v>Mouse-specific beta-common-receptor paralog contributing to IL-3-family cytokine signaling; translation to human CSF2RB is not one-to-one.</x:v>
      </x:c>
      <x:c r="M44" s="23" t="str">
        <x:v>Moderate</x:v>
      </x:c>
      <x:c r="N44" s="23" t="str"/>
      <x:c r="O44" s="23" t="str">
        <x:v>https://www.informatics.jax.org/quicksearch/summary?queryType=exactPhrase&amp;query=Csf2rb2</x:v>
      </x:c>
      <x:c r="P44" s="23" t="str">
        <x:v>https://www.uniprot.org/uniprotkb?query=%28gene_exact%3ACsf2rb2%29+AND+%28organism_id%3A10090%29</x:v>
      </x:c>
      <x:c r="Q44" s="23" t="str">
        <x:v>https://www.ncbi.nlm.nih.gov/gene/?term=Csf2rb2%5Bgene%5D%20AND%20Mus%20musculus%5Borgn%5D</x:v>
      </x:c>
      <x:c r="R44" s="23" t="str">
        <x:v>https://reactome.org/content/query?q=Csf2rb2&amp;species=Mus%20musculus</x:v>
      </x:c>
      <x:c r="S44" s="23" t="str">
        <x:v>https://pubmed.ncbi.nlm.nih.gov/?term=(Csf2rb2%5BTitle%2FAbstract%5D)%20AND%20(mouse%20OR%20murine)</x:v>
      </x:c>
      <x:c r="T44" s="23" t="str">
        <x:v>No sufficiently supported metabolism or cell-death role curated</x:v>
      </x:c>
    </x:row>
    <x:row r="45">
      <x:c r="A45" s="22" t="n">
        <x:v>42</x:v>
      </x:c>
      <x:c r="B45" s="23" t="str">
        <x:v>Ctsc</x:v>
      </x:c>
      <x:c r="C45" s="23" t="str">
        <x:v>CTSC</x:v>
      </x:c>
      <x:c r="D45" s="23" t="str">
        <x:v>Conserved symbol; human ortholog</x:v>
      </x:c>
      <x:c r="E45" s="23" t="str">
        <x:v>Direct biochemical/transport role</x:v>
      </x:c>
      <x:c r="F45" s="23" t="str">
        <x:v>Protein turnover, processing and proteostasis: Lysosomal peptide catabolism and granule-protease activation</x:v>
      </x:c>
      <x:c r="G45" s="23" t="str">
        <x:v>Removes N-terminal dipeptides from proteins/peptides and activates neutrophil and cytotoxic-lymphocyte granule serine proteases.</x:v>
      </x:c>
      <x:c r="H45" s="23" t="str">
        <x:v>No curated cell-death relation</x:v>
      </x:c>
      <x:c r="I45" s="23" t="str"/>
      <x:c r="J45" s="23" t="str"/>
      <x:c r="K45" s="23" t="str">
        <x:v>Lysosomal proteolysis; granule-serine-protease activation</x:v>
      </x:c>
      <x:c r="L45" s="23" t="str">
        <x:v>Lysosomal cysteine dipeptidyl peptidase that removes N-terminal dipeptides and activates neutrophil/lymphocyte granule serine proteases.</x:v>
      </x:c>
      <x:c r="M45" s="23" t="str">
        <x:v>High</x:v>
      </x:c>
      <x:c r="N45" s="23" t="str">
        <x:v>UNIPROT2025; REACTOME2024</x:v>
      </x:c>
      <x:c r="O45" s="23" t="str">
        <x:v>https://www.informatics.jax.org/quicksearch/summary?queryType=exactPhrase&amp;query=Ctsc</x:v>
      </x:c>
      <x:c r="P45" s="23" t="str">
        <x:v>https://www.uniprot.org/uniprotkb?query=%28gene_exact%3ACtsc%29+AND+%28organism_id%3A10090%29</x:v>
      </x:c>
      <x:c r="Q45" s="23" t="str">
        <x:v>https://www.ncbi.nlm.nih.gov/gene/?term=Ctsc%5Bgene%5D%20AND%20Mus%20musculus%5Borgn%5D</x:v>
      </x:c>
      <x:c r="R45" s="23" t="str">
        <x:v>https://reactome.org/content/query?q=Ctsc&amp;species=Mus%20musculus</x:v>
      </x:c>
      <x:c r="S45" s="23" t="str">
        <x:v>https://pubmed.ncbi.nlm.nih.gov/?term=(Ctsc%5BTitle%2FAbstract%5D)%20AND%20(mouse%20OR%20murine)</x:v>
      </x:c>
      <x:c r="T45" s="23" t="str"/>
    </x:row>
    <x:row r="46">
      <x:c r="A46" s="22" t="n">
        <x:v>43</x:v>
      </x:c>
      <x:c r="B46" s="23" t="str">
        <x:v>Ctsd</x:v>
      </x:c>
      <x:c r="C46" s="23" t="str">
        <x:v>CTSD</x:v>
      </x:c>
      <x:c r="D46" s="23" t="str">
        <x:v>Conserved symbol; human ortholog</x:v>
      </x:c>
      <x:c r="E46" s="23" t="str">
        <x:v>Direct biochemical/transport role</x:v>
      </x:c>
      <x:c r="F46" s="23" t="str">
        <x:v>Protein turnover, processing and proteostasis: Lysosomal protein catabolism</x:v>
      </x:c>
      <x:c r="G46" s="23" t="str">
        <x:v>Hydrolyzes proteins in acidic lysosomes and processes selected precursors.</x:v>
      </x:c>
      <x:c r="H46" s="23" t="str">
        <x:v>Mechanistic pathway relation</x:v>
      </x:c>
      <x:c r="I46" s="23" t="str">
        <x:v>Lysosome-dependent cell death / apoptosis</x:v>
      </x:c>
      <x:c r="J46" s="23" t="str">
        <x:v>Contextual lysosomal effector: After lysosomal membrane permeabilization, cytosolic cathepsin D can cleave death substrates and amplify mitochondrial/caspase-associated death.</x:v>
      </x:c>
      <x:c r="K46" s="23" t="str">
        <x:v>Lysosomal proteolysis</x:v>
      </x:c>
      <x:c r="L46" s="23" t="str">
        <x:v>Major lysosomal aspartyl endopeptidase that degrades proteins and processes selected bioactive precursors.</x:v>
      </x:c>
      <x:c r="M46" s="23" t="str">
        <x:v>High</x:v>
      </x:c>
      <x:c r="N46" s="23" t="str">
        <x:v>UNIPROT2025; REACTOME2024; CTSD2001; NCCD2018</x:v>
      </x:c>
      <x:c r="O46" s="23" t="str">
        <x:v>https://www.informatics.jax.org/quicksearch/summary?queryType=exactPhrase&amp;query=Ctsd</x:v>
      </x:c>
      <x:c r="P46" s="23" t="str">
        <x:v>https://www.uniprot.org/uniprotkb?query=%28gene_exact%3ACtsd%29+AND+%28organism_id%3A10090%29</x:v>
      </x:c>
      <x:c r="Q46" s="23" t="str">
        <x:v>https://www.ncbi.nlm.nih.gov/gene/?term=Ctsd%5Bgene%5D%20AND%20Mus%20musculus%5Borgn%5D</x:v>
      </x:c>
      <x:c r="R46" s="23" t="str">
        <x:v>https://reactome.org/content/query?q=Ctsd&amp;species=Mus%20musculus</x:v>
      </x:c>
      <x:c r="S46" s="23" t="str">
        <x:v>https://pubmed.ncbi.nlm.nih.gov/?term=(Ctsd%5BTitle%2FAbstract%5D)%20AND%20(mouse%20OR%20murine)</x:v>
      </x:c>
      <x:c r="T46" s="23" t="str"/>
    </x:row>
    <x:row r="47">
      <x:c r="A47" s="22" t="n">
        <x:v>44</x:v>
      </x:c>
      <x:c r="B47" s="23" t="str">
        <x:v>Ctsh</x:v>
      </x:c>
      <x:c r="C47" s="23" t="str">
        <x:v>CTSH</x:v>
      </x:c>
      <x:c r="D47" s="23" t="str">
        <x:v>Conserved symbol; human ortholog</x:v>
      </x:c>
      <x:c r="E47" s="23" t="str">
        <x:v>Direct biochemical/transport role</x:v>
      </x:c>
      <x:c r="F47" s="23" t="str">
        <x:v>Protein turnover, processing and proteostasis: Lysosomal protein/peptide catabolism</x:v>
      </x:c>
      <x:c r="G47" s="23" t="str">
        <x:v>Removes N-terminal residues and cleaves internal peptide bonds in lysosomal substrates.</x:v>
      </x:c>
      <x:c r="H47" s="23" t="str">
        <x:v>No curated cell-death relation</x:v>
      </x:c>
      <x:c r="I47" s="23" t="str"/>
      <x:c r="J47" s="23" t="str"/>
      <x:c r="K47" s="23" t="str">
        <x:v>Lysosomal proteolysis; antigen processing</x:v>
      </x:c>
      <x:c r="L47" s="23" t="str">
        <x:v>Cysteine cathepsin with aminopeptidase and endopeptidase activities in lysosomal protein turnover and antigen processing.</x:v>
      </x:c>
      <x:c r="M47" s="23" t="str">
        <x:v>High</x:v>
      </x:c>
      <x:c r="N47" s="23" t="str">
        <x:v>UNIPROT2025</x:v>
      </x:c>
      <x:c r="O47" s="23" t="str">
        <x:v>https://www.informatics.jax.org/quicksearch/summary?queryType=exactPhrase&amp;query=Ctsh</x:v>
      </x:c>
      <x:c r="P47" s="23" t="str">
        <x:v>https://www.uniprot.org/uniprotkb?query=%28gene_exact%3ACtsh%29+AND+%28organism_id%3A10090%29</x:v>
      </x:c>
      <x:c r="Q47" s="23" t="str">
        <x:v>https://www.ncbi.nlm.nih.gov/gene/?term=Ctsh%5Bgene%5D%20AND%20Mus%20musculus%5Borgn%5D</x:v>
      </x:c>
      <x:c r="R47" s="23" t="str">
        <x:v>https://reactome.org/content/query?q=Ctsh&amp;species=Mus%20musculus</x:v>
      </x:c>
      <x:c r="S47" s="23" t="str">
        <x:v>https://pubmed.ncbi.nlm.nih.gov/?term=(Ctsh%5BTitle%2FAbstract%5D)%20AND%20(mouse%20OR%20murine)</x:v>
      </x:c>
      <x:c r="T47" s="23" t="str"/>
    </x:row>
    <x:row r="48">
      <x:c r="A48" s="22" t="n">
        <x:v>45</x:v>
      </x:c>
      <x:c r="B48" s="23" t="str">
        <x:v>Ctsz</x:v>
      </x:c>
      <x:c r="C48" s="23" t="str">
        <x:v>CTSZ</x:v>
      </x:c>
      <x:c r="D48" s="23" t="str">
        <x:v>Conserved symbol; human ortholog</x:v>
      </x:c>
      <x:c r="E48" s="23" t="str">
        <x:v>Direct biochemical/transport role</x:v>
      </x:c>
      <x:c r="F48" s="23" t="str">
        <x:v>Protein turnover, processing and proteostasis: Lysosomal peptide catabolism</x:v>
      </x:c>
      <x:c r="G48" s="23" t="str">
        <x:v>Removes C-terminal amino acids from peptide/protein substrates in lysosomes.</x:v>
      </x:c>
      <x:c r="H48" s="23" t="str">
        <x:v>No curated cell-death relation</x:v>
      </x:c>
      <x:c r="I48" s="23" t="str"/>
      <x:c r="J48" s="23" t="str"/>
      <x:c r="K48" s="23" t="str">
        <x:v>Lysosomal proteolysis; adhesion/migration</x:v>
      </x:c>
      <x:c r="L48" s="23" t="str">
        <x:v>Cysteine carboxypeptidase in lysosomal protein turnover; also modulates integrin-dependent adhesion through noncatalytic interactions.</x:v>
      </x:c>
      <x:c r="M48" s="23" t="str">
        <x:v>High</x:v>
      </x:c>
      <x:c r="N48" s="23" t="str">
        <x:v>UNIPROT2025</x:v>
      </x:c>
      <x:c r="O48" s="23" t="str">
        <x:v>https://www.informatics.jax.org/quicksearch/summary?queryType=exactPhrase&amp;query=Ctsz</x:v>
      </x:c>
      <x:c r="P48" s="23" t="str">
        <x:v>https://www.uniprot.org/uniprotkb?query=%28gene_exact%3ACtsz%29+AND+%28organism_id%3A10090%29</x:v>
      </x:c>
      <x:c r="Q48" s="23" t="str">
        <x:v>https://www.ncbi.nlm.nih.gov/gene/?term=Ctsz%5Bgene%5D%20AND%20Mus%20musculus%5Borgn%5D</x:v>
      </x:c>
      <x:c r="R48" s="23" t="str">
        <x:v>https://reactome.org/content/query?q=Ctsz&amp;species=Mus%20musculus</x:v>
      </x:c>
      <x:c r="S48" s="23" t="str">
        <x:v>https://pubmed.ncbi.nlm.nih.gov/?term=(Ctsz%5BTitle%2FAbstract%5D)%20AND%20(mouse%20OR%20murine)</x:v>
      </x:c>
      <x:c r="T48" s="23" t="str"/>
    </x:row>
    <x:row r="49">
      <x:c r="A49" s="22" t="n">
        <x:v>46</x:v>
      </x:c>
      <x:c r="B49" s="23" t="str">
        <x:v>Cxcl10</x:v>
      </x:c>
      <x:c r="C49" s="23" t="str">
        <x:v>CXCL10</x:v>
      </x:c>
      <x:c r="D49" s="23" t="str">
        <x:v>Conserved symbol; human ortholog</x:v>
      </x:c>
      <x:c r="E49" s="23" t="str">
        <x:v>No curated metabolic role</x:v>
      </x:c>
      <x:c r="F49" s="23" t="str"/>
      <x:c r="G49" s="23" t="str"/>
      <x:c r="H49" s="23" t="str">
        <x:v>No curated cell-death relation</x:v>
      </x:c>
      <x:c r="I49" s="23" t="str"/>
      <x:c r="J49" s="23" t="str"/>
      <x:c r="K49" s="23" t="str">
        <x:v>Interferon-inducible chemokine signaling</x:v>
      </x:c>
      <x:c r="L49" s="23" t="str">
        <x:v>CXCR3 ligand that recruits activated T cells, NK cells and other leukocytes during interferon-dominated inflammation.</x:v>
      </x:c>
      <x:c r="M49" s="23" t="str">
        <x:v>High</x:v>
      </x:c>
      <x:c r="N49" s="23" t="str"/>
      <x:c r="O49" s="23" t="str">
        <x:v>https://www.informatics.jax.org/quicksearch/summary?queryType=exactPhrase&amp;query=Cxcl10</x:v>
      </x:c>
      <x:c r="P49" s="23" t="str">
        <x:v>https://www.uniprot.org/uniprotkb?query=%28gene_exact%3ACxcl10%29+AND+%28organism_id%3A10090%29</x:v>
      </x:c>
      <x:c r="Q49" s="23" t="str">
        <x:v>https://www.ncbi.nlm.nih.gov/gene/?term=Cxcl10%5Bgene%5D%20AND%20Mus%20musculus%5Borgn%5D</x:v>
      </x:c>
      <x:c r="R49" s="23" t="str">
        <x:v>https://reactome.org/content/query?q=Cxcl10&amp;species=Mus%20musculus</x:v>
      </x:c>
      <x:c r="S49" s="23" t="str">
        <x:v>https://pubmed.ncbi.nlm.nih.gov/?term=(Cxcl10%5BTitle%2FAbstract%5D)%20AND%20(mouse%20OR%20murine)</x:v>
      </x:c>
      <x:c r="T49" s="23" t="str">
        <x:v>No sufficiently supported metabolism or cell-death role curated</x:v>
      </x:c>
    </x:row>
    <x:row r="50">
      <x:c r="A50" s="22" t="n">
        <x:v>47</x:v>
      </x:c>
      <x:c r="B50" s="23" t="str">
        <x:v>Cxcl12</x:v>
      </x:c>
      <x:c r="C50" s="23" t="str">
        <x:v>CXCL12</x:v>
      </x:c>
      <x:c r="D50" s="23" t="str">
        <x:v>Conserved symbol; human ortholog</x:v>
      </x:c>
      <x:c r="E50" s="23" t="str">
        <x:v>No curated metabolic role</x:v>
      </x:c>
      <x:c r="F50" s="23" t="str"/>
      <x:c r="G50" s="23" t="str"/>
      <x:c r="H50" s="23" t="str">
        <x:v>No curated cell-death relation</x:v>
      </x:c>
      <x:c r="I50" s="23" t="str"/>
      <x:c r="J50" s="23" t="str"/>
      <x:c r="K50" s="23" t="str">
        <x:v>Chemokine signaling; stem-cell retention</x:v>
      </x:c>
      <x:c r="L50" s="23" t="str">
        <x:v>CXCR4/ACKR3 ligand controlling hematopoietic retention, development, angiogenesis and directed cell migration.</x:v>
      </x:c>
      <x:c r="M50" s="23" t="str">
        <x:v>High</x:v>
      </x:c>
      <x:c r="N50" s="23" t="str"/>
      <x:c r="O50" s="23" t="str">
        <x:v>https://www.informatics.jax.org/quicksearch/summary?queryType=exactPhrase&amp;query=Cxcl12</x:v>
      </x:c>
      <x:c r="P50" s="23" t="str">
        <x:v>https://www.uniprot.org/uniprotkb?query=%28gene_exact%3ACxcl12%29+AND+%28organism_id%3A10090%29</x:v>
      </x:c>
      <x:c r="Q50" s="23" t="str">
        <x:v>https://www.ncbi.nlm.nih.gov/gene/?term=Cxcl12%5Bgene%5D%20AND%20Mus%20musculus%5Borgn%5D</x:v>
      </x:c>
      <x:c r="R50" s="23" t="str">
        <x:v>https://reactome.org/content/query?q=Cxcl12&amp;species=Mus%20musculus</x:v>
      </x:c>
      <x:c r="S50" s="23" t="str">
        <x:v>https://pubmed.ncbi.nlm.nih.gov/?term=(Cxcl12%5BTitle%2FAbstract%5D)%20AND%20(mouse%20OR%20murine)</x:v>
      </x:c>
      <x:c r="T50" s="23" t="str">
        <x:v>No sufficiently supported metabolism or cell-death role curated</x:v>
      </x:c>
    </x:row>
    <x:row r="51">
      <x:c r="A51" s="22" t="n">
        <x:v>48</x:v>
      </x:c>
      <x:c r="B51" s="23" t="str">
        <x:v>Cybb</x:v>
      </x:c>
      <x:c r="C51" s="23" t="str">
        <x:v>CYBB</x:v>
      </x:c>
      <x:c r="D51" s="23" t="str">
        <x:v>Conserved symbol; human ortholog</x:v>
      </x:c>
      <x:c r="E51" s="23" t="str">
        <x:v>Direct biochemical/transport role</x:v>
      </x:c>
      <x:c r="F51" s="23" t="str">
        <x:v>Redox metabolism: NOX2 respiratory burst</x:v>
      </x:c>
      <x:c r="G51" s="23" t="str">
        <x:v>Transfers electrons from cytosolic NADPH to oxygen to produce superoxide in phagosomes or at the plasma membrane.</x:v>
      </x:c>
      <x:c r="H51" s="23" t="str">
        <x:v>Contextual cell-death modifier</x:v>
      </x:c>
      <x:c r="I51" s="23" t="str">
        <x:v>Oxidative cell injury; NET formation; ferroptosis/apoptosis modulation</x:v>
      </x:c>
      <x:c r="J51" s="23" t="str">
        <x:v>ROS-generating modifier: NOX2-derived superoxide/secondary ROS can damage host membranes and DNA and amplify multiple death programs.</x:v>
      </x:c>
      <x:c r="K51" s="23" t="str">
        <x:v>Phagocyte oxidase; antimicrobial redox biology</x:v>
      </x:c>
      <x:c r="L51" s="23" t="str">
        <x:v>NOX2 catalytic membrane subunit that transfers electrons from NADPH to oxygen to generate superoxide during the respiratory burst.</x:v>
      </x:c>
      <x:c r="M51" s="23" t="str">
        <x:v>High</x:v>
      </x:c>
      <x:c r="N51" s="23" t="str">
        <x:v>NOX2_2010; UNIPROT2025; FERRO2017; NCCD2018</x:v>
      </x:c>
      <x:c r="O51" s="23" t="str">
        <x:v>https://www.informatics.jax.org/quicksearch/summary?queryType=exactPhrase&amp;query=Cybb</x:v>
      </x:c>
      <x:c r="P51" s="23" t="str">
        <x:v>https://www.uniprot.org/uniprotkb?query=%28gene_exact%3ACybb%29+AND+%28organism_id%3A10090%29</x:v>
      </x:c>
      <x:c r="Q51" s="23" t="str">
        <x:v>https://www.ncbi.nlm.nih.gov/gene/?term=Cybb%5Bgene%5D%20AND%20Mus%20musculus%5Borgn%5D</x:v>
      </x:c>
      <x:c r="R51" s="23" t="str">
        <x:v>https://reactome.org/content/query?q=Cybb&amp;species=Mus%20musculus</x:v>
      </x:c>
      <x:c r="S51" s="23" t="str">
        <x:v>https://pubmed.ncbi.nlm.nih.gov/?term=(Cybb%5BTitle%2FAbstract%5D)%20AND%20(mouse%20OR%20murine)</x:v>
      </x:c>
      <x:c r="T51" s="23" t="str"/>
    </x:row>
    <x:row r="52">
      <x:c r="A52" s="22" t="n">
        <x:v>49</x:v>
      </x:c>
      <x:c r="B52" s="23" t="str">
        <x:v>Cyth4</x:v>
      </x:c>
      <x:c r="C52" s="23" t="str">
        <x:v>CYTH4</x:v>
      </x:c>
      <x:c r="D52" s="23" t="str">
        <x:v>Conserved symbol; human ortholog</x:v>
      </x:c>
      <x:c r="E52" s="23" t="str">
        <x:v>No curated metabolic role</x:v>
      </x:c>
      <x:c r="F52" s="23" t="str"/>
      <x:c r="G52" s="23" t="str"/>
      <x:c r="H52" s="23" t="str">
        <x:v>No curated cell-death relation</x:v>
      </x:c>
      <x:c r="I52" s="23" t="str"/>
      <x:c r="J52" s="23" t="str"/>
      <x:c r="K52" s="23" t="str">
        <x:v>ARF-family signaling; immune-cell trafficking</x:v>
      </x:c>
      <x:c r="L52" s="23" t="str">
        <x:v>Cytohesin-family guanine-nucleotide exchange factor for ARF GTPases involved in integrin activation and membrane trafficking.</x:v>
      </x:c>
      <x:c r="M52" s="23" t="str">
        <x:v>Moderate</x:v>
      </x:c>
      <x:c r="N52" s="23" t="str"/>
      <x:c r="O52" s="23" t="str">
        <x:v>https://www.informatics.jax.org/quicksearch/summary?queryType=exactPhrase&amp;query=Cyth4</x:v>
      </x:c>
      <x:c r="P52" s="23" t="str">
        <x:v>https://www.uniprot.org/uniprotkb?query=%28gene_exact%3ACyth4%29+AND+%28organism_id%3A10090%29</x:v>
      </x:c>
      <x:c r="Q52" s="23" t="str">
        <x:v>https://www.ncbi.nlm.nih.gov/gene/?term=Cyth4%5Bgene%5D%20AND%20Mus%20musculus%5Borgn%5D</x:v>
      </x:c>
      <x:c r="R52" s="23" t="str">
        <x:v>https://reactome.org/content/query?q=Cyth4&amp;species=Mus%20musculus</x:v>
      </x:c>
      <x:c r="S52" s="23" t="str">
        <x:v>https://pubmed.ncbi.nlm.nih.gov/?term=(Cyth4%5BTitle%2FAbstract%5D)%20AND%20(mouse%20OR%20murine)</x:v>
      </x:c>
      <x:c r="T52" s="23" t="str">
        <x:v>No sufficiently supported metabolism or cell-death role curated</x:v>
      </x:c>
    </x:row>
    <x:row r="53">
      <x:c r="A53" s="22" t="n">
        <x:v>50</x:v>
      </x:c>
      <x:c r="B53" s="23" t="str">
        <x:v>Ddost</x:v>
      </x:c>
      <x:c r="C53" s="23" t="str">
        <x:v>DDOST</x:v>
      </x:c>
      <x:c r="D53" s="23" t="str">
        <x:v>Conserved symbol; human ortholog</x:v>
      </x:c>
      <x:c r="E53" s="23" t="str">
        <x:v>Direct biochemical/transport role</x:v>
      </x:c>
      <x:c r="F53" s="23" t="str">
        <x:v>Glycan and glycoprotein metabolism: N-linked glycosylation</x:v>
      </x:c>
      <x:c r="G53" s="23" t="str">
        <x:v>Contributes to transfer of a preassembled oligosaccharide from dolichol donor to asparagine residues of nascent ER proteins.</x:v>
      </x:c>
      <x:c r="H53" s="23" t="str">
        <x:v>No curated cell-death relation</x:v>
      </x:c>
      <x:c r="I53" s="23" t="str"/>
      <x:c r="J53" s="23" t="str"/>
      <x:c r="K53" s="23" t="str">
        <x:v>N-linked glycosylation; ER protein processing</x:v>
      </x:c>
      <x:c r="L53" s="23" t="str">
        <x:v>Subunit of oligosaccharyltransferase that transfers preassembled oligosaccharide to nascent proteins in the ER.</x:v>
      </x:c>
      <x:c r="M53" s="23" t="str">
        <x:v>High</x:v>
      </x:c>
      <x:c r="N53" s="23" t="str">
        <x:v>REACTOME2024; UNIPROT2025</x:v>
      </x:c>
      <x:c r="O53" s="23" t="str">
        <x:v>https://www.informatics.jax.org/quicksearch/summary?queryType=exactPhrase&amp;query=Ddost</x:v>
      </x:c>
      <x:c r="P53" s="23" t="str">
        <x:v>https://www.uniprot.org/uniprotkb?query=%28gene_exact%3ADdost%29+AND+%28organism_id%3A10090%29</x:v>
      </x:c>
      <x:c r="Q53" s="23" t="str">
        <x:v>https://www.ncbi.nlm.nih.gov/gene/?term=Ddost%5Bgene%5D%20AND%20Mus%20musculus%5Borgn%5D</x:v>
      </x:c>
      <x:c r="R53" s="23" t="str">
        <x:v>https://reactome.org/content/query?q=Ddost&amp;species=Mus%20musculus</x:v>
      </x:c>
      <x:c r="S53" s="23" t="str">
        <x:v>https://pubmed.ncbi.nlm.nih.gov/?term=(Ddost%5BTitle%2FAbstract%5D)%20AND%20(mouse%20OR%20murine)</x:v>
      </x:c>
      <x:c r="T53" s="23" t="str"/>
    </x:row>
    <x:row r="54">
      <x:c r="A54" s="22" t="n">
        <x:v>51</x:v>
      </x:c>
      <x:c r="B54" s="23" t="str">
        <x:v>Dock8</x:v>
      </x:c>
      <x:c r="C54" s="23" t="str">
        <x:v>DOCK8</x:v>
      </x:c>
      <x:c r="D54" s="23" t="str">
        <x:v>Conserved symbol; human ortholog</x:v>
      </x:c>
      <x:c r="E54" s="23" t="str">
        <x:v>No curated metabolic role</x:v>
      </x:c>
      <x:c r="F54" s="23" t="str"/>
      <x:c r="G54" s="23" t="str"/>
      <x:c r="H54" s="23" t="str">
        <x:v>No curated cell-death relation</x:v>
      </x:c>
      <x:c r="I54" s="23" t="str"/>
      <x:c r="J54" s="23" t="str"/>
      <x:c r="K54" s="23" t="str">
        <x:v>RAC/CDC42 signaling; immune-cell cytoskeleton</x:v>
      </x:c>
      <x:c r="L54" s="23" t="str">
        <x:v>Atypical guanine-nucleotide exchange factor required for actin remodeling, immune synapse integrity, migration and antiviral immunity.</x:v>
      </x:c>
      <x:c r="M54" s="23" t="str">
        <x:v>High</x:v>
      </x:c>
      <x:c r="N54" s="23" t="str"/>
      <x:c r="O54" s="23" t="str">
        <x:v>https://www.informatics.jax.org/quicksearch/summary?queryType=exactPhrase&amp;query=Dock8</x:v>
      </x:c>
      <x:c r="P54" s="23" t="str">
        <x:v>https://www.uniprot.org/uniprotkb?query=%28gene_exact%3ADock8%29+AND+%28organism_id%3A10090%29</x:v>
      </x:c>
      <x:c r="Q54" s="23" t="str">
        <x:v>https://www.ncbi.nlm.nih.gov/gene/?term=Dock8%5Bgene%5D%20AND%20Mus%20musculus%5Borgn%5D</x:v>
      </x:c>
      <x:c r="R54" s="23" t="str">
        <x:v>https://reactome.org/content/query?q=Dock8&amp;species=Mus%20musculus</x:v>
      </x:c>
      <x:c r="S54" s="23" t="str">
        <x:v>https://pubmed.ncbi.nlm.nih.gov/?term=(Dock8%5BTitle%2FAbstract%5D)%20AND%20(mouse%20OR%20murine)</x:v>
      </x:c>
      <x:c r="T54" s="23" t="str">
        <x:v>No sufficiently supported metabolism or cell-death role curated</x:v>
      </x:c>
    </x:row>
    <x:row r="55">
      <x:c r="A55" s="22" t="n">
        <x:v>52</x:v>
      </x:c>
      <x:c r="B55" s="23" t="str">
        <x:v>Dusp2</x:v>
      </x:c>
      <x:c r="C55" s="23" t="str">
        <x:v>DUSP2</x:v>
      </x:c>
      <x:c r="D55" s="23" t="str">
        <x:v>Conserved symbol; human ortholog</x:v>
      </x:c>
      <x:c r="E55" s="23" t="str">
        <x:v>No curated metabolic role</x:v>
      </x:c>
      <x:c r="F55" s="23" t="str"/>
      <x:c r="G55" s="23" t="str"/>
      <x:c r="H55" s="23" t="str">
        <x:v>No curated cell-death relation</x:v>
      </x:c>
      <x:c r="I55" s="23" t="str"/>
      <x:c r="J55" s="23" t="str"/>
      <x:c r="K55" s="23" t="str">
        <x:v>MAPK signal termination</x:v>
      </x:c>
      <x:c r="L55" s="23" t="str">
        <x:v>Dual-specificity phosphatase that dephosphorylates ERK/JNK/p38-family MAPKs and tunes inflammatory transcription.</x:v>
      </x:c>
      <x:c r="M55" s="23" t="str">
        <x:v>High</x:v>
      </x:c>
      <x:c r="N55" s="23" t="str"/>
      <x:c r="O55" s="23" t="str">
        <x:v>https://www.informatics.jax.org/quicksearch/summary?queryType=exactPhrase&amp;query=Dusp2</x:v>
      </x:c>
      <x:c r="P55" s="23" t="str">
        <x:v>https://www.uniprot.org/uniprotkb?query=%28gene_exact%3ADusp2%29+AND+%28organism_id%3A10090%29</x:v>
      </x:c>
      <x:c r="Q55" s="23" t="str">
        <x:v>https://www.ncbi.nlm.nih.gov/gene/?term=Dusp2%5Bgene%5D%20AND%20Mus%20musculus%5Borgn%5D</x:v>
      </x:c>
      <x:c r="R55" s="23" t="str">
        <x:v>https://reactome.org/content/query?q=Dusp2&amp;species=Mus%20musculus</x:v>
      </x:c>
      <x:c r="S55" s="23" t="str">
        <x:v>https://pubmed.ncbi.nlm.nih.gov/?term=(Dusp2%5BTitle%2FAbstract%5D)%20AND%20(mouse%20OR%20murine)</x:v>
      </x:c>
      <x:c r="T55" s="23" t="str">
        <x:v>No sufficiently supported metabolism or cell-death role curated</x:v>
      </x:c>
    </x:row>
    <x:row r="56">
      <x:c r="A56" s="22" t="n">
        <x:v>53</x:v>
      </x:c>
      <x:c r="B56" s="23" t="str">
        <x:v>E2f8</x:v>
      </x:c>
      <x:c r="C56" s="23" t="str">
        <x:v>E2F8</x:v>
      </x:c>
      <x:c r="D56" s="23" t="str">
        <x:v>Conserved symbol; human ortholog</x:v>
      </x:c>
      <x:c r="E56" s="23" t="str">
        <x:v>No curated metabolic role</x:v>
      </x:c>
      <x:c r="F56" s="23" t="str"/>
      <x:c r="G56" s="23" t="str"/>
      <x:c r="H56" s="23" t="str">
        <x:v>No curated cell-death relation</x:v>
      </x:c>
      <x:c r="I56" s="23" t="str"/>
      <x:c r="J56" s="23" t="str"/>
      <x:c r="K56" s="23" t="str">
        <x:v>Cell-cycle transcription</x:v>
      </x:c>
      <x:c r="L56" s="23" t="str">
        <x:v>Atypical E2F transcriptional repressor/activator controlling S-phase, DNA replication and polyploidization programs.</x:v>
      </x:c>
      <x:c r="M56" s="23" t="str">
        <x:v>High</x:v>
      </x:c>
      <x:c r="N56" s="23" t="str"/>
      <x:c r="O56" s="23" t="str">
        <x:v>https://www.informatics.jax.org/quicksearch/summary?queryType=exactPhrase&amp;query=E2f8</x:v>
      </x:c>
      <x:c r="P56" s="23" t="str">
        <x:v>https://www.uniprot.org/uniprotkb?query=%28gene_exact%3AE2f8%29+AND+%28organism_id%3A10090%29</x:v>
      </x:c>
      <x:c r="Q56" s="23" t="str">
        <x:v>https://www.ncbi.nlm.nih.gov/gene/?term=E2f8%5Bgene%5D%20AND%20Mus%20musculus%5Borgn%5D</x:v>
      </x:c>
      <x:c r="R56" s="23" t="str">
        <x:v>https://reactome.org/content/query?q=E2f8&amp;species=Mus%20musculus</x:v>
      </x:c>
      <x:c r="S56" s="23" t="str">
        <x:v>https://pubmed.ncbi.nlm.nih.gov/?term=(E2f8%5BTitle%2FAbstract%5D)%20AND%20(mouse%20OR%20murine)</x:v>
      </x:c>
      <x:c r="T56" s="23" t="str">
        <x:v>No sufficiently supported metabolism or cell-death role curated</x:v>
      </x:c>
    </x:row>
    <x:row r="57">
      <x:c r="A57" s="22" t="n">
        <x:v>54</x:v>
      </x:c>
      <x:c r="B57" s="23" t="str">
        <x:v>Elf4</x:v>
      </x:c>
      <x:c r="C57" s="23" t="str">
        <x:v>ELF4</x:v>
      </x:c>
      <x:c r="D57" s="23" t="str">
        <x:v>Conserved symbol; human ortholog</x:v>
      </x:c>
      <x:c r="E57" s="23" t="str">
        <x:v>No curated metabolic role</x:v>
      </x:c>
      <x:c r="F57" s="23" t="str"/>
      <x:c r="G57" s="23" t="str"/>
      <x:c r="H57" s="23" t="str">
        <x:v>No curated cell-death relation</x:v>
      </x:c>
      <x:c r="I57" s="23" t="str"/>
      <x:c r="J57" s="23" t="str"/>
      <x:c r="K57" s="23" t="str">
        <x:v>ETS-family transcription; innate and lymphoid programs</x:v>
      </x:c>
      <x:c r="L57" s="23" t="str">
        <x:v>ETS-family transcription factor regulating hematopoiesis, innate antiviral genes and lymphocyte quiescence/activation.</x:v>
      </x:c>
      <x:c r="M57" s="23" t="str">
        <x:v>Moderate</x:v>
      </x:c>
      <x:c r="N57" s="23" t="str"/>
      <x:c r="O57" s="23" t="str">
        <x:v>https://www.informatics.jax.org/quicksearch/summary?queryType=exactPhrase&amp;query=Elf4</x:v>
      </x:c>
      <x:c r="P57" s="23" t="str">
        <x:v>https://www.uniprot.org/uniprotkb?query=%28gene_exact%3AElf4%29+AND+%28organism_id%3A10090%29</x:v>
      </x:c>
      <x:c r="Q57" s="23" t="str">
        <x:v>https://www.ncbi.nlm.nih.gov/gene/?term=Elf4%5Bgene%5D%20AND%20Mus%20musculus%5Borgn%5D</x:v>
      </x:c>
      <x:c r="R57" s="23" t="str">
        <x:v>https://reactome.org/content/query?q=Elf4&amp;species=Mus%20musculus</x:v>
      </x:c>
      <x:c r="S57" s="23" t="str">
        <x:v>https://pubmed.ncbi.nlm.nih.gov/?term=(Elf4%5BTitle%2FAbstract%5D)%20AND%20(mouse%20OR%20murine)</x:v>
      </x:c>
      <x:c r="T57" s="23" t="str">
        <x:v>No sufficiently supported metabolism or cell-death role curated</x:v>
      </x:c>
    </x:row>
    <x:row r="58">
      <x:c r="A58" s="22" t="n">
        <x:v>55</x:v>
      </x:c>
      <x:c r="B58" s="23" t="str">
        <x:v>Epha2</x:v>
      </x:c>
      <x:c r="C58" s="23" t="str">
        <x:v>EPHA2</x:v>
      </x:c>
      <x:c r="D58" s="23" t="str">
        <x:v>Conserved symbol; human ortholog</x:v>
      </x:c>
      <x:c r="E58" s="23" t="str">
        <x:v>No curated metabolic role</x:v>
      </x:c>
      <x:c r="F58" s="23" t="str"/>
      <x:c r="G58" s="23" t="str"/>
      <x:c r="H58" s="23" t="str">
        <x:v>No curated cell-death relation</x:v>
      </x:c>
      <x:c r="I58" s="23" t="str"/>
      <x:c r="J58" s="23" t="str"/>
      <x:c r="K58" s="23" t="str">
        <x:v>Ephrin receptor signaling; adhesion and migration</x:v>
      </x:c>
      <x:c r="L58" s="23" t="str">
        <x:v>Receptor tyrosine kinase whose ligand-dependent and ligand-independent signaling regulate cell adhesion, polarity, migration and vascular/tumor biology.</x:v>
      </x:c>
      <x:c r="M58" s="23" t="str">
        <x:v>High</x:v>
      </x:c>
      <x:c r="N58" s="23" t="str"/>
      <x:c r="O58" s="23" t="str">
        <x:v>https://www.informatics.jax.org/quicksearch/summary?queryType=exactPhrase&amp;query=Epha2</x:v>
      </x:c>
      <x:c r="P58" s="23" t="str">
        <x:v>https://www.uniprot.org/uniprotkb?query=%28gene_exact%3AEpha2%29+AND+%28organism_id%3A10090%29</x:v>
      </x:c>
      <x:c r="Q58" s="23" t="str">
        <x:v>https://www.ncbi.nlm.nih.gov/gene/?term=Epha2%5Bgene%5D%20AND%20Mus%20musculus%5Borgn%5D</x:v>
      </x:c>
      <x:c r="R58" s="23" t="str">
        <x:v>https://reactome.org/content/query?q=Epha2&amp;species=Mus%20musculus</x:v>
      </x:c>
      <x:c r="S58" s="23" t="str">
        <x:v>https://pubmed.ncbi.nlm.nih.gov/?term=(Epha2%5BTitle%2FAbstract%5D)%20AND%20(mouse%20OR%20murine)</x:v>
      </x:c>
      <x:c r="T58" s="23" t="str">
        <x:v>No sufficiently supported metabolism or cell-death role curated</x:v>
      </x:c>
    </x:row>
    <x:row r="59">
      <x:c r="A59" s="22" t="n">
        <x:v>56</x:v>
      </x:c>
      <x:c r="B59" s="23" t="str">
        <x:v>Erp29</x:v>
      </x:c>
      <x:c r="C59" s="23" t="str">
        <x:v>ERP29</x:v>
      </x:c>
      <x:c r="D59" s="23" t="str">
        <x:v>Conserved symbol; human ortholog</x:v>
      </x:c>
      <x:c r="E59" s="23" t="str">
        <x:v>Direct biochemical/transport role</x:v>
      </x:c>
      <x:c r="F59" s="23" t="str">
        <x:v>Protein turnover, processing and proteostasis: ER folding and secretory trafficking</x:v>
      </x:c>
      <x:c r="G59" s="23" t="str">
        <x:v>Assists folding and ER export of selected secreted/membrane proteins.</x:v>
      </x:c>
      <x:c r="H59" s="23" t="str">
        <x:v>No curated cell-death relation</x:v>
      </x:c>
      <x:c r="I59" s="23" t="str"/>
      <x:c r="J59" s="23" t="str"/>
      <x:c r="K59" s="23" t="str">
        <x:v>ER proteostasis and secretory trafficking</x:v>
      </x:c>
      <x:c r="L59" s="23" t="str">
        <x:v>ER luminal chaperone-like protein supporting folding/export of selected secretory and membrane proteins; lacks classical thioredoxin catalytic motif.</x:v>
      </x:c>
      <x:c r="M59" s="23" t="str">
        <x:v>Moderate</x:v>
      </x:c>
      <x:c r="N59" s="23" t="str">
        <x:v>UNIPROT2025</x:v>
      </x:c>
      <x:c r="O59" s="23" t="str">
        <x:v>https://www.informatics.jax.org/quicksearch/summary?queryType=exactPhrase&amp;query=Erp29</x:v>
      </x:c>
      <x:c r="P59" s="23" t="str">
        <x:v>https://www.uniprot.org/uniprotkb?query=%28gene_exact%3AErp29%29+AND+%28organism_id%3A10090%29</x:v>
      </x:c>
      <x:c r="Q59" s="23" t="str">
        <x:v>https://www.ncbi.nlm.nih.gov/gene/?term=Erp29%5Bgene%5D%20AND%20Mus%20musculus%5Borgn%5D</x:v>
      </x:c>
      <x:c r="R59" s="23" t="str">
        <x:v>https://reactome.org/content/query?q=Erp29&amp;species=Mus%20musculus</x:v>
      </x:c>
      <x:c r="S59" s="23" t="str">
        <x:v>https://pubmed.ncbi.nlm.nih.gov/?term=(Erp29%5BTitle%2FAbstract%5D)%20AND%20(mouse%20OR%20murine)</x:v>
      </x:c>
      <x:c r="T59" s="23" t="str"/>
    </x:row>
    <x:row r="60">
      <x:c r="A60" s="22" t="n">
        <x:v>57</x:v>
      </x:c>
      <x:c r="B60" s="23" t="str">
        <x:v>Fcer1g</x:v>
      </x:c>
      <x:c r="C60" s="23" t="str">
        <x:v>FCER1G</x:v>
      </x:c>
      <x:c r="D60" s="23" t="str">
        <x:v>Conserved symbol; human ortholog</x:v>
      </x:c>
      <x:c r="E60" s="23" t="str">
        <x:v>No curated metabolic role</x:v>
      </x:c>
      <x:c r="F60" s="23" t="str"/>
      <x:c r="G60" s="23" t="str"/>
      <x:c r="H60" s="23" t="str">
        <x:v>No curated cell-death relation</x:v>
      </x:c>
      <x:c r="I60" s="23" t="str"/>
      <x:c r="J60" s="23" t="str"/>
      <x:c r="K60" s="23" t="str">
        <x:v>ITAM adaptor signaling</x:v>
      </x:c>
      <x:c r="L60" s="23" t="str">
        <x:v>Common Fc-receptor gamma chain carrying an ITAM, required for signaling by multiple Fc, C-type lectin and myeloid receptors.</x:v>
      </x:c>
      <x:c r="M60" s="23" t="str">
        <x:v>High</x:v>
      </x:c>
      <x:c r="N60" s="23" t="str"/>
      <x:c r="O60" s="23" t="str">
        <x:v>https://www.informatics.jax.org/quicksearch/summary?queryType=exactPhrase&amp;query=Fcer1g</x:v>
      </x:c>
      <x:c r="P60" s="23" t="str">
        <x:v>https://www.uniprot.org/uniprotkb?query=%28gene_exact%3AFcer1g%29+AND+%28organism_id%3A10090%29</x:v>
      </x:c>
      <x:c r="Q60" s="23" t="str">
        <x:v>https://www.ncbi.nlm.nih.gov/gene/?term=Fcer1g%5Bgene%5D%20AND%20Mus%20musculus%5Borgn%5D</x:v>
      </x:c>
      <x:c r="R60" s="23" t="str">
        <x:v>https://reactome.org/content/query?q=Fcer1g&amp;species=Mus%20musculus</x:v>
      </x:c>
      <x:c r="S60" s="23" t="str">
        <x:v>https://pubmed.ncbi.nlm.nih.gov/?term=(Fcer1g%5BTitle%2FAbstract%5D)%20AND%20(mouse%20OR%20murine)</x:v>
      </x:c>
      <x:c r="T60" s="23" t="str">
        <x:v>No sufficiently supported metabolism or cell-death role curated</x:v>
      </x:c>
    </x:row>
    <x:row r="61">
      <x:c r="A61" s="22" t="n">
        <x:v>58</x:v>
      </x:c>
      <x:c r="B61" s="23" t="str">
        <x:v>Fcgr1</x:v>
      </x:c>
      <x:c r="C61" s="23" t="str">
        <x:v>FCGR1A</x:v>
      </x:c>
      <x:c r="D61" s="23" t="str">
        <x:v>Conserved Fc-receptor family ortholog</x:v>
      </x:c>
      <x:c r="E61" s="23" t="str">
        <x:v>No curated metabolic role</x:v>
      </x:c>
      <x:c r="F61" s="23" t="str"/>
      <x:c r="G61" s="23" t="str"/>
      <x:c r="H61" s="23" t="str">
        <x:v>No curated cell-death relation</x:v>
      </x:c>
      <x:c r="I61" s="23" t="str"/>
      <x:c r="J61" s="23" t="str"/>
      <x:c r="K61" s="23" t="str">
        <x:v>IgG Fc-receptor signaling; phagocytosis</x:v>
      </x:c>
      <x:c r="L61" s="23" t="str">
        <x:v>High-affinity activating IgG receptor driving phagocytosis, antigen uptake and inflammatory signaling through FCER1G.</x:v>
      </x:c>
      <x:c r="M61" s="23" t="str">
        <x:v>High</x:v>
      </x:c>
      <x:c r="N61" s="23" t="str"/>
      <x:c r="O61" s="23" t="str">
        <x:v>https://www.informatics.jax.org/quicksearch/summary?queryType=exactPhrase&amp;query=Fcgr1</x:v>
      </x:c>
      <x:c r="P61" s="23" t="str">
        <x:v>https://www.uniprot.org/uniprotkb?query=%28gene_exact%3AFcgr1%29+AND+%28organism_id%3A10090%29</x:v>
      </x:c>
      <x:c r="Q61" s="23" t="str">
        <x:v>https://www.ncbi.nlm.nih.gov/gene/?term=Fcgr1%5Bgene%5D%20AND%20Mus%20musculus%5Borgn%5D</x:v>
      </x:c>
      <x:c r="R61" s="23" t="str">
        <x:v>https://reactome.org/content/query?q=Fcgr1&amp;species=Mus%20musculus</x:v>
      </x:c>
      <x:c r="S61" s="23" t="str">
        <x:v>https://pubmed.ncbi.nlm.nih.gov/?term=(Fcgr1%5BTitle%2FAbstract%5D)%20AND%20(mouse%20OR%20murine)</x:v>
      </x:c>
      <x:c r="T61" s="23" t="str">
        <x:v>No sufficiently supported metabolism or cell-death role curated</x:v>
      </x:c>
    </x:row>
    <x:row r="62">
      <x:c r="A62" s="22" t="n">
        <x:v>59</x:v>
      </x:c>
      <x:c r="B62" s="23" t="str">
        <x:v>Fcgr2b</x:v>
      </x:c>
      <x:c r="C62" s="23" t="str">
        <x:v>FCGR2B</x:v>
      </x:c>
      <x:c r="D62" s="23" t="str">
        <x:v>Conserved symbol; human ortholog</x:v>
      </x:c>
      <x:c r="E62" s="23" t="str">
        <x:v>No curated metabolic role</x:v>
      </x:c>
      <x:c r="F62" s="23" t="str"/>
      <x:c r="G62" s="23" t="str"/>
      <x:c r="H62" s="23" t="str">
        <x:v>No curated cell-death relation</x:v>
      </x:c>
      <x:c r="I62" s="23" t="str"/>
      <x:c r="J62" s="23" t="str"/>
      <x:c r="K62" s="23" t="str">
        <x:v>Inhibitory IgG Fc-receptor signaling</x:v>
      </x:c>
      <x:c r="L62" s="23" t="str">
        <x:v>ITIM-containing IgG receptor that recruits phosphatases and limits B-cell/myeloid activation and immune-complex responses.</x:v>
      </x:c>
      <x:c r="M62" s="23" t="str">
        <x:v>High</x:v>
      </x:c>
      <x:c r="N62" s="23" t="str"/>
      <x:c r="O62" s="23" t="str">
        <x:v>https://www.informatics.jax.org/quicksearch/summary?queryType=exactPhrase&amp;query=Fcgr2b</x:v>
      </x:c>
      <x:c r="P62" s="23" t="str">
        <x:v>https://www.uniprot.org/uniprotkb?query=%28gene_exact%3AFcgr2b%29+AND+%28organism_id%3A10090%29</x:v>
      </x:c>
      <x:c r="Q62" s="23" t="str">
        <x:v>https://www.ncbi.nlm.nih.gov/gene/?term=Fcgr2b%5Bgene%5D%20AND%20Mus%20musculus%5Borgn%5D</x:v>
      </x:c>
      <x:c r="R62" s="23" t="str">
        <x:v>https://reactome.org/content/query?q=Fcgr2b&amp;species=Mus%20musculus</x:v>
      </x:c>
      <x:c r="S62" s="23" t="str">
        <x:v>https://pubmed.ncbi.nlm.nih.gov/?term=(Fcgr2b%5BTitle%2FAbstract%5D)%20AND%20(mouse%20OR%20murine)</x:v>
      </x:c>
      <x:c r="T62" s="23" t="str">
        <x:v>No sufficiently supported metabolism or cell-death role curated</x:v>
      </x:c>
    </x:row>
    <x:row r="63">
      <x:c r="A63" s="22" t="n">
        <x:v>60</x:v>
      </x:c>
      <x:c r="B63" s="23" t="str">
        <x:v>Fcgr3</x:v>
      </x:c>
      <x:c r="C63" s="23" t="str">
        <x:v>FCGR3A/FCGR3B</x:v>
      </x:c>
      <x:c r="D63" s="23" t="str">
        <x:v>Complex Fc-receptor family mapping</x:v>
      </x:c>
      <x:c r="E63" s="23" t="str">
        <x:v>No curated metabolic role</x:v>
      </x:c>
      <x:c r="F63" s="23" t="str"/>
      <x:c r="G63" s="23" t="str"/>
      <x:c r="H63" s="23" t="str">
        <x:v>No curated cell-death relation</x:v>
      </x:c>
      <x:c r="I63" s="23" t="str"/>
      <x:c r="J63" s="23" t="str"/>
      <x:c r="K63" s="23" t="str">
        <x:v>IgG Fc-receptor signaling; cytotoxicity/phagocytosis</x:v>
      </x:c>
      <x:c r="L63" s="23" t="str">
        <x:v>Low-affinity activating IgG receptor on innate immune cells, coupled to ITAM adaptors for antibody-dependent effector responses.</x:v>
      </x:c>
      <x:c r="M63" s="23" t="str">
        <x:v>High</x:v>
      </x:c>
      <x:c r="N63" s="23" t="str"/>
      <x:c r="O63" s="23" t="str">
        <x:v>https://www.informatics.jax.org/quicksearch/summary?queryType=exactPhrase&amp;query=Fcgr3</x:v>
      </x:c>
      <x:c r="P63" s="23" t="str">
        <x:v>https://www.uniprot.org/uniprotkb?query=%28gene_exact%3AFcgr3%29+AND+%28organism_id%3A10090%29</x:v>
      </x:c>
      <x:c r="Q63" s="23" t="str">
        <x:v>https://www.ncbi.nlm.nih.gov/gene/?term=Fcgr3%5Bgene%5D%20AND%20Mus%20musculus%5Borgn%5D</x:v>
      </x:c>
      <x:c r="R63" s="23" t="str">
        <x:v>https://reactome.org/content/query?q=Fcgr3&amp;species=Mus%20musculus</x:v>
      </x:c>
      <x:c r="S63" s="23" t="str">
        <x:v>https://pubmed.ncbi.nlm.nih.gov/?term=(Fcgr3%5BTitle%2FAbstract%5D)%20AND%20(mouse%20OR%20murine)</x:v>
      </x:c>
      <x:c r="T63" s="23" t="str">
        <x:v>Orthology requires caution; No sufficiently supported metabolism or cell-death role curated</x:v>
      </x:c>
    </x:row>
    <x:row r="64">
      <x:c r="A64" s="22" t="n">
        <x:v>61</x:v>
      </x:c>
      <x:c r="B64" s="23" t="str">
        <x:v>Fcgr4</x:v>
      </x:c>
      <x:c r="C64" s="23" t="str">
        <x:v>FCGR3A (closest functional counterpart)</x:v>
      </x:c>
      <x:c r="D64" s="23" t="str">
        <x:v>No strict one-to-one ortholog</x:v>
      </x:c>
      <x:c r="E64" s="23" t="str">
        <x:v>No curated metabolic role</x:v>
      </x:c>
      <x:c r="F64" s="23" t="str"/>
      <x:c r="G64" s="23" t="str"/>
      <x:c r="H64" s="23" t="str">
        <x:v>No curated cell-death relation</x:v>
      </x:c>
      <x:c r="I64" s="23" t="str"/>
      <x:c r="J64" s="23" t="str"/>
      <x:c r="K64" s="23" t="str">
        <x:v>Mouse activating IgG Fc-receptor signaling</x:v>
      </x:c>
      <x:c r="L64" s="23" t="str">
        <x:v>Mouse low-affinity activating Fc receptor with strong IgG2a/IgG2b recognition; closest human functional counterpart is FCGR3A, not a strict ortholog.</x:v>
      </x:c>
      <x:c r="M64" s="23" t="str">
        <x:v>High</x:v>
      </x:c>
      <x:c r="N64" s="23" t="str"/>
      <x:c r="O64" s="23" t="str">
        <x:v>https://www.informatics.jax.org/quicksearch/summary?queryType=exactPhrase&amp;query=Fcgr4</x:v>
      </x:c>
      <x:c r="P64" s="23" t="str">
        <x:v>https://www.uniprot.org/uniprotkb?query=%28gene_exact%3AFcgr4%29+AND+%28organism_id%3A10090%29</x:v>
      </x:c>
      <x:c r="Q64" s="23" t="str">
        <x:v>https://www.ncbi.nlm.nih.gov/gene/?term=Fcgr4%5Bgene%5D%20AND%20Mus%20musculus%5Borgn%5D</x:v>
      </x:c>
      <x:c r="R64" s="23" t="str">
        <x:v>https://reactome.org/content/query?q=Fcgr4&amp;species=Mus%20musculus</x:v>
      </x:c>
      <x:c r="S64" s="23" t="str">
        <x:v>https://pubmed.ncbi.nlm.nih.gov/?term=(Fcgr4%5BTitle%2FAbstract%5D)%20AND%20(mouse%20OR%20murine)</x:v>
      </x:c>
      <x:c r="T64" s="23" t="str">
        <x:v>Orthology requires caution; No sufficiently supported metabolism or cell-death role curated</x:v>
      </x:c>
    </x:row>
    <x:row r="65">
      <x:c r="A65" s="22" t="n">
        <x:v>62</x:v>
      </x:c>
      <x:c r="B65" s="23" t="str">
        <x:v>Fgd2</x:v>
      </x:c>
      <x:c r="C65" s="23" t="str">
        <x:v>FGD2</x:v>
      </x:c>
      <x:c r="D65" s="23" t="str">
        <x:v>Conserved symbol; human ortholog</x:v>
      </x:c>
      <x:c r="E65" s="23" t="str">
        <x:v>No curated metabolic role</x:v>
      </x:c>
      <x:c r="F65" s="23" t="str"/>
      <x:c r="G65" s="23" t="str"/>
      <x:c r="H65" s="23" t="str">
        <x:v>No curated cell-death relation</x:v>
      </x:c>
      <x:c r="I65" s="23" t="str"/>
      <x:c r="J65" s="23" t="str"/>
      <x:c r="K65" s="23" t="str">
        <x:v>CDC42 signaling; vesicle/cytoskeletal control</x:v>
      </x:c>
      <x:c r="L65" s="23" t="str">
        <x:v>Hematopoietic guanine-nucleotide exchange factor activating CDC42 and influencing actin organization and receptor trafficking.</x:v>
      </x:c>
      <x:c r="M65" s="23" t="str">
        <x:v>Moderate</x:v>
      </x:c>
      <x:c r="N65" s="23" t="str"/>
      <x:c r="O65" s="23" t="str">
        <x:v>https://www.informatics.jax.org/quicksearch/summary?queryType=exactPhrase&amp;query=Fgd2</x:v>
      </x:c>
      <x:c r="P65" s="23" t="str">
        <x:v>https://www.uniprot.org/uniprotkb?query=%28gene_exact%3AFgd2%29+AND+%28organism_id%3A10090%29</x:v>
      </x:c>
      <x:c r="Q65" s="23" t="str">
        <x:v>https://www.ncbi.nlm.nih.gov/gene/?term=Fgd2%5Bgene%5D%20AND%20Mus%20musculus%5Borgn%5D</x:v>
      </x:c>
      <x:c r="R65" s="23" t="str">
        <x:v>https://reactome.org/content/query?q=Fgd2&amp;species=Mus%20musculus</x:v>
      </x:c>
      <x:c r="S65" s="23" t="str">
        <x:v>https://pubmed.ncbi.nlm.nih.gov/?term=(Fgd2%5BTitle%2FAbstract%5D)%20AND%20(mouse%20OR%20murine)</x:v>
      </x:c>
      <x:c r="T65" s="23" t="str">
        <x:v>No sufficiently supported metabolism or cell-death role curated</x:v>
      </x:c>
    </x:row>
    <x:row r="66">
      <x:c r="A66" s="22" t="n">
        <x:v>63</x:v>
      </x:c>
      <x:c r="B66" s="23" t="str">
        <x:v>Fgfr4</x:v>
      </x:c>
      <x:c r="C66" s="23" t="str">
        <x:v>FGFR4</x:v>
      </x:c>
      <x:c r="D66" s="23" t="str">
        <x:v>Conserved symbol; human ortholog</x:v>
      </x:c>
      <x:c r="E66" s="23" t="str">
        <x:v>Regulatory/contextual metabolic role</x:v>
      </x:c>
      <x:c r="F66" s="23" t="str">
        <x:v>Lipid, sterol and lipoprotein metabolism: FGF15/19 control of bile-acid synthesis</x:v>
      </x:c>
      <x:c r="G66" s="23" t="str">
        <x:v>Hepatic FGFR4-KLB signaling suppresses CYP7A1-dependent de novo bile-acid synthesis in response to endocrine FGF15/19.</x:v>
      </x:c>
      <x:c r="H66" s="23" t="str">
        <x:v>No curated cell-death relation</x:v>
      </x:c>
      <x:c r="I66" s="23" t="str"/>
      <x:c r="J66" s="23" t="str"/>
      <x:c r="K66" s="23" t="str">
        <x:v>FGF receptor signaling; bile-acid regulation</x:v>
      </x:c>
      <x:c r="L66" s="23" t="str">
        <x:v>Receptor tyrosine kinase for endocrine FGF15/FGF19 (with KLB) and other FGFs; controls hepatic growth and bile-acid synthesis programs.</x:v>
      </x:c>
      <x:c r="M66" s="23" t="str">
        <x:v>High</x:v>
      </x:c>
      <x:c r="N66" s="23" t="str">
        <x:v>FGFR4_2011; REACTOME2024</x:v>
      </x:c>
      <x:c r="O66" s="23" t="str">
        <x:v>https://www.informatics.jax.org/quicksearch/summary?queryType=exactPhrase&amp;query=Fgfr4</x:v>
      </x:c>
      <x:c r="P66" s="23" t="str">
        <x:v>https://www.uniprot.org/uniprotkb?query=%28gene_exact%3AFgfr4%29+AND+%28organism_id%3A10090%29</x:v>
      </x:c>
      <x:c r="Q66" s="23" t="str">
        <x:v>https://www.ncbi.nlm.nih.gov/gene/?term=Fgfr4%5Bgene%5D%20AND%20Mus%20musculus%5Borgn%5D</x:v>
      </x:c>
      <x:c r="R66" s="23" t="str">
        <x:v>https://reactome.org/content/query?q=Fgfr4&amp;species=Mus%20musculus</x:v>
      </x:c>
      <x:c r="S66" s="23" t="str">
        <x:v>https://pubmed.ncbi.nlm.nih.gov/?term=(Fgfr4%5BTitle%2FAbstract%5D)%20AND%20(mouse%20OR%20murine)</x:v>
      </x:c>
      <x:c r="T66" s="23" t="str"/>
    </x:row>
    <x:row r="67">
      <x:c r="A67" s="22" t="n">
        <x:v>64</x:v>
      </x:c>
      <x:c r="B67" s="23" t="str">
        <x:v>Fgl2</x:v>
      </x:c>
      <x:c r="C67" s="23" t="str">
        <x:v>FGL2</x:v>
      </x:c>
      <x:c r="D67" s="23" t="str">
        <x:v>Conserved symbol; human ortholog</x:v>
      </x:c>
      <x:c r="E67" s="23" t="str">
        <x:v>No curated metabolic role</x:v>
      </x:c>
      <x:c r="F67" s="23" t="str"/>
      <x:c r="G67" s="23" t="str"/>
      <x:c r="H67" s="23" t="str">
        <x:v>No curated cell-death relation</x:v>
      </x:c>
      <x:c r="I67" s="23" t="str"/>
      <x:c r="J67" s="23" t="str"/>
      <x:c r="K67" s="23" t="str">
        <x:v>Coagulation and immune regulation</x:v>
      </x:c>
      <x:c r="L67" s="23" t="str">
        <x:v>Secreted/membrane fibrinogen-like protein with context-dependent prothrombinase activity and immunoregulatory effects.</x:v>
      </x:c>
      <x:c r="M67" s="23" t="str">
        <x:v>Moderate</x:v>
      </x:c>
      <x:c r="N67" s="23" t="str"/>
      <x:c r="O67" s="23" t="str">
        <x:v>https://www.informatics.jax.org/quicksearch/summary?queryType=exactPhrase&amp;query=Fgl2</x:v>
      </x:c>
      <x:c r="P67" s="23" t="str">
        <x:v>https://www.uniprot.org/uniprotkb?query=%28gene_exact%3AFgl2%29+AND+%28organism_id%3A10090%29</x:v>
      </x:c>
      <x:c r="Q67" s="23" t="str">
        <x:v>https://www.ncbi.nlm.nih.gov/gene/?term=Fgl2%5Bgene%5D%20AND%20Mus%20musculus%5Borgn%5D</x:v>
      </x:c>
      <x:c r="R67" s="23" t="str">
        <x:v>https://reactome.org/content/query?q=Fgl2&amp;species=Mus%20musculus</x:v>
      </x:c>
      <x:c r="S67" s="23" t="str">
        <x:v>https://pubmed.ncbi.nlm.nih.gov/?term=(Fgl2%5BTitle%2FAbstract%5D)%20AND%20(mouse%20OR%20murine)</x:v>
      </x:c>
      <x:c r="T67" s="23" t="str">
        <x:v>No sufficiently supported metabolism or cell-death role curated</x:v>
      </x:c>
    </x:row>
    <x:row r="68">
      <x:c r="A68" s="22" t="n">
        <x:v>65</x:v>
      </x:c>
      <x:c r="B68" s="23" t="str">
        <x:v>Fgr</x:v>
      </x:c>
      <x:c r="C68" s="23" t="str">
        <x:v>FGR</x:v>
      </x:c>
      <x:c r="D68" s="23" t="str">
        <x:v>Conserved symbol; human ortholog</x:v>
      </x:c>
      <x:c r="E68" s="23" t="str">
        <x:v>No curated metabolic role</x:v>
      </x:c>
      <x:c r="F68" s="23" t="str"/>
      <x:c r="G68" s="23" t="str"/>
      <x:c r="H68" s="23" t="str">
        <x:v>No curated cell-death relation</x:v>
      </x:c>
      <x:c r="I68" s="23" t="str"/>
      <x:c r="J68" s="23" t="str"/>
      <x:c r="K68" s="23" t="str">
        <x:v>Src-family kinase signaling</x:v>
      </x:c>
      <x:c r="L68" s="23" t="str">
        <x:v>Myeloid Src-family kinase downstream of integrins and immune receptors, regulating adhesion, degranulation and phagocyte activation.</x:v>
      </x:c>
      <x:c r="M68" s="23" t="str">
        <x:v>High</x:v>
      </x:c>
      <x:c r="N68" s="23" t="str"/>
      <x:c r="O68" s="23" t="str">
        <x:v>https://www.informatics.jax.org/quicksearch/summary?queryType=exactPhrase&amp;query=Fgr</x:v>
      </x:c>
      <x:c r="P68" s="23" t="str">
        <x:v>https://www.uniprot.org/uniprotkb?query=%28gene_exact%3AFgr%29+AND+%28organism_id%3A10090%29</x:v>
      </x:c>
      <x:c r="Q68" s="23" t="str">
        <x:v>https://www.ncbi.nlm.nih.gov/gene/?term=Fgr%5Bgene%5D%20AND%20Mus%20musculus%5Borgn%5D</x:v>
      </x:c>
      <x:c r="R68" s="23" t="str">
        <x:v>https://reactome.org/content/query?q=Fgr&amp;species=Mus%20musculus</x:v>
      </x:c>
      <x:c r="S68" s="23" t="str">
        <x:v>https://pubmed.ncbi.nlm.nih.gov/?term=(Fgr%5BTitle%2FAbstract%5D)%20AND%20(mouse%20OR%20murine)</x:v>
      </x:c>
      <x:c r="T68" s="23" t="str">
        <x:v>No sufficiently supported metabolism or cell-death role curated</x:v>
      </x:c>
    </x:row>
    <x:row r="69">
      <x:c r="A69" s="22" t="n">
        <x:v>66</x:v>
      </x:c>
      <x:c r="B69" s="23" t="str">
        <x:v>Gbp2</x:v>
      </x:c>
      <x:c r="C69" s="23" t="str">
        <x:v>GBP2</x:v>
      </x:c>
      <x:c r="D69" s="23" t="str">
        <x:v>Conserved symbol; human ortholog</x:v>
      </x:c>
      <x:c r="E69" s="23" t="str">
        <x:v>No curated metabolic role</x:v>
      </x:c>
      <x:c r="F69" s="23" t="str"/>
      <x:c r="G69" s="23" t="str"/>
      <x:c r="H69" s="23" t="str">
        <x:v>Mechanistic pathway relation</x:v>
      </x:c>
      <x:c r="I69" s="23" t="str">
        <x:v>Pyroptosis</x:v>
      </x:c>
      <x:c r="J69" s="23" t="str">
        <x:v>Upstream inflammasome-licensing factor: Mouse GBP chromosome-3 cluster, including GBP2, targets microbial membranes/vesicles and enables cytosolic LPS exposure and caspase-11-dependent pyroptosis.</x:v>
      </x:c>
      <x:c r="K69" s="23" t="str">
        <x:v>Interferon-induced cell-autonomous immunity</x:v>
      </x:c>
      <x:c r="L69" s="23" t="str">
        <x:v>Dynamin-like guanylate-binding protein that targets pathogen-containing compartments and helps license inflammasome responses in mouse macrophages.</x:v>
      </x:c>
      <x:c r="M69" s="23" t="str">
        <x:v>High</x:v>
      </x:c>
      <x:c r="N69" s="23" t="str">
        <x:v>GBP2014; GSDMD2015; NCCD2018</x:v>
      </x:c>
      <x:c r="O69" s="23" t="str">
        <x:v>https://www.informatics.jax.org/quicksearch/summary?queryType=exactPhrase&amp;query=Gbp2</x:v>
      </x:c>
      <x:c r="P69" s="23" t="str">
        <x:v>https://www.uniprot.org/uniprotkb?query=%28gene_exact%3AGbp2%29+AND+%28organism_id%3A10090%29</x:v>
      </x:c>
      <x:c r="Q69" s="23" t="str">
        <x:v>https://www.ncbi.nlm.nih.gov/gene/?term=Gbp2%5Bgene%5D%20AND%20Mus%20musculus%5Borgn%5D</x:v>
      </x:c>
      <x:c r="R69" s="23" t="str">
        <x:v>https://reactome.org/content/query?q=Gbp2&amp;species=Mus%20musculus</x:v>
      </x:c>
      <x:c r="S69" s="23" t="str">
        <x:v>https://pubmed.ncbi.nlm.nih.gov/?term=(Gbp2%5BTitle%2FAbstract%5D)%20AND%20(mouse%20OR%20murine)</x:v>
      </x:c>
      <x:c r="T69" s="23" t="str"/>
    </x:row>
    <x:row r="70">
      <x:c r="A70" s="22" t="n">
        <x:v>67</x:v>
      </x:c>
      <x:c r="B70" s="23" t="str">
        <x:v>Gna15</x:v>
      </x:c>
      <x:c r="C70" s="23" t="str">
        <x:v>GNA15</x:v>
      </x:c>
      <x:c r="D70" s="23" t="str">
        <x:v>Conserved symbol; human ortholog</x:v>
      </x:c>
      <x:c r="E70" s="23" t="str">
        <x:v>No curated metabolic role</x:v>
      </x:c>
      <x:c r="F70" s="23" t="str"/>
      <x:c r="G70" s="23" t="str"/>
      <x:c r="H70" s="23" t="str">
        <x:v>No curated cell-death relation</x:v>
      </x:c>
      <x:c r="I70" s="23" t="str"/>
      <x:c r="J70" s="23" t="str"/>
      <x:c r="K70" s="23" t="str">
        <x:v>Heterotrimeric G-protein signaling</x:v>
      </x:c>
      <x:c r="L70" s="23" t="str">
        <x:v>G-alpha-q-family subunit linking many GPCRs to PLC-beta, calcium and MAPK signaling, especially in hematopoietic cells.</x:v>
      </x:c>
      <x:c r="M70" s="23" t="str">
        <x:v>High</x:v>
      </x:c>
      <x:c r="N70" s="23" t="str"/>
      <x:c r="O70" s="23" t="str">
        <x:v>https://www.informatics.jax.org/quicksearch/summary?queryType=exactPhrase&amp;query=Gna15</x:v>
      </x:c>
      <x:c r="P70" s="23" t="str">
        <x:v>https://www.uniprot.org/uniprotkb?query=%28gene_exact%3AGna15%29+AND+%28organism_id%3A10090%29</x:v>
      </x:c>
      <x:c r="Q70" s="23" t="str">
        <x:v>https://www.ncbi.nlm.nih.gov/gene/?term=Gna15%5Bgene%5D%20AND%20Mus%20musculus%5Borgn%5D</x:v>
      </x:c>
      <x:c r="R70" s="23" t="str">
        <x:v>https://reactome.org/content/query?q=Gna15&amp;species=Mus%20musculus</x:v>
      </x:c>
      <x:c r="S70" s="23" t="str">
        <x:v>https://pubmed.ncbi.nlm.nih.gov/?term=(Gna15%5BTitle%2FAbstract%5D)%20AND%20(mouse%20OR%20murine)</x:v>
      </x:c>
      <x:c r="T70" s="23" t="str">
        <x:v>No sufficiently supported metabolism or cell-death role curated</x:v>
      </x:c>
    </x:row>
    <x:row r="71">
      <x:c r="A71" s="22" t="n">
        <x:v>68</x:v>
      </x:c>
      <x:c r="B71" s="23" t="str">
        <x:v>Grn</x:v>
      </x:c>
      <x:c r="C71" s="23" t="str">
        <x:v>GRN</x:v>
      </x:c>
      <x:c r="D71" s="23" t="str">
        <x:v>Conserved symbol; human ortholog</x:v>
      </x:c>
      <x:c r="E71" s="23" t="str">
        <x:v>Regulatory/contextual metabolic role</x:v>
      </x:c>
      <x:c r="F71" s="23" t="str">
        <x:v>Lysosomal metabolism: Lysosome homeostasis</x:v>
      </x:c>
      <x:c r="G71" s="23" t="str">
        <x:v>Progranulin supports lysosomal acidification, enzyme function and lipid/protein homeostasis; loss causes lysosomal dysfunction.</x:v>
      </x:c>
      <x:c r="H71" s="23" t="str">
        <x:v>Clearance/cargo/survival relation</x:v>
      </x:c>
      <x:c r="I71" s="23" t="str">
        <x:v>Lysosome-dependent degeneration / apoptosis</x:v>
      </x:c>
      <x:c r="J71" s="23" t="str">
        <x:v>Survival and lysosome-homeostasis modifier: Progranulin supports lysosome function and neuronal/myeloid survival; deficiency can drive lysosomal stress and degeneration.</x:v>
      </x:c>
      <x:c r="K71" s="23" t="str">
        <x:v>Lysosome homeostasis; growth and inflammation</x:v>
      </x:c>
      <x:c r="L71" s="23" t="str">
        <x:v>Progranulin is a secreted and lysosomal protein regulating lysosome function, inflammation, wound repair and neuronal survival; processed into granulins.</x:v>
      </x:c>
      <x:c r="M71" s="23" t="str">
        <x:v>High</x:v>
      </x:c>
      <x:c r="N71" s="23" t="str">
        <x:v>UNIPROT2025; NCCD2018</x:v>
      </x:c>
      <x:c r="O71" s="23" t="str">
        <x:v>https://www.informatics.jax.org/quicksearch/summary?queryType=exactPhrase&amp;query=Grn</x:v>
      </x:c>
      <x:c r="P71" s="23" t="str">
        <x:v>https://www.uniprot.org/uniprotkb?query=%28gene_exact%3AGrn%29+AND+%28organism_id%3A10090%29</x:v>
      </x:c>
      <x:c r="Q71" s="23" t="str">
        <x:v>https://www.ncbi.nlm.nih.gov/gene/?term=Grn%5Bgene%5D%20AND%20Mus%20musculus%5Borgn%5D</x:v>
      </x:c>
      <x:c r="R71" s="23" t="str">
        <x:v>https://reactome.org/content/query?q=Grn&amp;species=Mus%20musculus</x:v>
      </x:c>
      <x:c r="S71" s="23" t="str">
        <x:v>https://pubmed.ncbi.nlm.nih.gov/?term=(Grn%5BTitle%2FAbstract%5D)%20AND%20(mouse%20OR%20murine)</x:v>
      </x:c>
      <x:c r="T71" s="23" t="str"/>
    </x:row>
    <x:row r="72">
      <x:c r="A72" s="22" t="n">
        <x:v>69</x:v>
      </x:c>
      <x:c r="B72" s="23" t="str">
        <x:v>Gvin3</x:v>
      </x:c>
      <x:c r="C72" s="23" t="str"/>
      <x:c r="D72" s="23" t="str">
        <x:v>No confident human ortholog identified</x:v>
      </x:c>
      <x:c r="E72" s="23" t="str">
        <x:v>No curated metabolic role</x:v>
      </x:c>
      <x:c r="F72" s="23" t="str"/>
      <x:c r="G72" s="23" t="str"/>
      <x:c r="H72" s="23" t="str">
        <x:v>No curated cell-death relation</x:v>
      </x:c>
      <x:c r="I72" s="23" t="str"/>
      <x:c r="J72" s="23" t="str"/>
      <x:c r="K72" s="23" t="str">
        <x:v>Interferon-induced large GTPase; poorly characterized</x:v>
      </x:c>
      <x:c r="L72" s="23" t="str">
        <x:v>Mouse interferon-inducible very-large GTPase associated with antimicrobial responses; mechanistic function and human translation are limited.</x:v>
      </x:c>
      <x:c r="M72" s="23" t="str">
        <x:v>Low</x:v>
      </x:c>
      <x:c r="N72" s="23" t="str"/>
      <x:c r="O72" s="23" t="str">
        <x:v>https://www.informatics.jax.org/quicksearch/summary?queryType=exactPhrase&amp;query=Gvin3</x:v>
      </x:c>
      <x:c r="P72" s="23" t="str">
        <x:v>https://www.uniprot.org/uniprotkb?query=%28gene_exact%3AGvin3%29+AND+%28organism_id%3A10090%29</x:v>
      </x:c>
      <x:c r="Q72" s="23" t="str">
        <x:v>https://www.ncbi.nlm.nih.gov/gene/?term=Gvin3%5Bgene%5D%20AND%20Mus%20musculus%5Borgn%5D</x:v>
      </x:c>
      <x:c r="R72" s="23" t="str">
        <x:v>https://reactome.org/content/query?q=Gvin3&amp;species=Mus%20musculus</x:v>
      </x:c>
      <x:c r="S72" s="23" t="str">
        <x:v>https://pubmed.ncbi.nlm.nih.gov/?term=(Gvin3%5BTitle%2FAbstract%5D)%20AND%20(mouse%20OR%20murine)</x:v>
      </x:c>
      <x:c r="T72" s="23" t="str">
        <x:v>Orthology requires caution; Function is poorly characterized or mainly predicted; No sufficiently supported metabolism or cell-death role curated</x:v>
      </x:c>
    </x:row>
    <x:row r="73">
      <x:c r="A73" s="22" t="n">
        <x:v>70</x:v>
      </x:c>
      <x:c r="B73" s="23" t="str">
        <x:v>H2-Aa</x:v>
      </x:c>
      <x:c r="C73" s="23" t="str">
        <x:v>HLA-DQA1</x:v>
      </x:c>
      <x:c r="D73" s="23" t="str">
        <x:v>MHC class-II family ortholog</x:v>
      </x:c>
      <x:c r="E73" s="23" t="str">
        <x:v>No curated metabolic role</x:v>
      </x:c>
      <x:c r="F73" s="23" t="str"/>
      <x:c r="G73" s="23" t="str"/>
      <x:c r="H73" s="23" t="str">
        <x:v>No curated cell-death relation</x:v>
      </x:c>
      <x:c r="I73" s="23" t="str"/>
      <x:c r="J73" s="23" t="str"/>
      <x:c r="K73" s="23" t="str">
        <x:v>MHC-II antigen presentation</x:v>
      </x:c>
      <x:c r="L73" s="23" t="str">
        <x:v>Mouse MHC-II alpha chain contributing to I-A heterodimers that present endolysosomal peptides to CD4 T cells.</x:v>
      </x:c>
      <x:c r="M73" s="23" t="str">
        <x:v>High</x:v>
      </x:c>
      <x:c r="N73" s="23" t="str"/>
      <x:c r="O73" s="23" t="str">
        <x:v>https://www.informatics.jax.org/quicksearch/summary?queryType=exactPhrase&amp;query=H2-Aa</x:v>
      </x:c>
      <x:c r="P73" s="23" t="str">
        <x:v>https://www.uniprot.org/uniprotkb?query=%28gene_exact%3AH2-Aa%29+AND+%28organism_id%3A10090%29</x:v>
      </x:c>
      <x:c r="Q73" s="23" t="str">
        <x:v>https://www.ncbi.nlm.nih.gov/gene/?term=H2-Aa%5Bgene%5D%20AND%20Mus%20musculus%5Borgn%5D</x:v>
      </x:c>
      <x:c r="R73" s="23" t="str">
        <x:v>https://reactome.org/content/query?q=H2-Aa&amp;species=Mus%20musculus</x:v>
      </x:c>
      <x:c r="S73" s="23" t="str">
        <x:v>https://pubmed.ncbi.nlm.nih.gov/?term=(H2-Aa%5BTitle%2FAbstract%5D)%20AND%20(mouse%20OR%20murine)</x:v>
      </x:c>
      <x:c r="T73" s="23" t="str">
        <x:v>No sufficiently supported metabolism or cell-death role curated</x:v>
      </x:c>
    </x:row>
    <x:row r="74">
      <x:c r="A74" s="22" t="n">
        <x:v>71</x:v>
      </x:c>
      <x:c r="B74" s="23" t="str">
        <x:v>H2-Ab1</x:v>
      </x:c>
      <x:c r="C74" s="23" t="str">
        <x:v>HLA-DQB1</x:v>
      </x:c>
      <x:c r="D74" s="23" t="str">
        <x:v>MHC class-II family ortholog</x:v>
      </x:c>
      <x:c r="E74" s="23" t="str">
        <x:v>No curated metabolic role</x:v>
      </x:c>
      <x:c r="F74" s="23" t="str"/>
      <x:c r="G74" s="23" t="str"/>
      <x:c r="H74" s="23" t="str">
        <x:v>No curated cell-death relation</x:v>
      </x:c>
      <x:c r="I74" s="23" t="str"/>
      <x:c r="J74" s="23" t="str"/>
      <x:c r="K74" s="23" t="str">
        <x:v>MHC-II antigen presentation</x:v>
      </x:c>
      <x:c r="L74" s="23" t="str">
        <x:v>Mouse MHC-II beta chain contributing to I-A heterodimers that present endolysosomal peptides to CD4 T cells.</x:v>
      </x:c>
      <x:c r="M74" s="23" t="str">
        <x:v>High</x:v>
      </x:c>
      <x:c r="N74" s="23" t="str"/>
      <x:c r="O74" s="23" t="str">
        <x:v>https://www.informatics.jax.org/quicksearch/summary?queryType=exactPhrase&amp;query=H2-Ab1</x:v>
      </x:c>
      <x:c r="P74" s="23" t="str">
        <x:v>https://www.uniprot.org/uniprotkb?query=%28gene_exact%3AH2-Ab1%29+AND+%28organism_id%3A10090%29</x:v>
      </x:c>
      <x:c r="Q74" s="23" t="str">
        <x:v>https://www.ncbi.nlm.nih.gov/gene/?term=H2-Ab1%5Bgene%5D%20AND%20Mus%20musculus%5Borgn%5D</x:v>
      </x:c>
      <x:c r="R74" s="23" t="str">
        <x:v>https://reactome.org/content/query?q=H2-Ab1&amp;species=Mus%20musculus</x:v>
      </x:c>
      <x:c r="S74" s="23" t="str">
        <x:v>https://pubmed.ncbi.nlm.nih.gov/?term=(H2-Ab1%5BTitle%2FAbstract%5D)%20AND%20(mouse%20OR%20murine)</x:v>
      </x:c>
      <x:c r="T74" s="23" t="str">
        <x:v>No sufficiently supported metabolism or cell-death role curated</x:v>
      </x:c>
    </x:row>
    <x:row r="75">
      <x:c r="A75" s="22" t="n">
        <x:v>72</x:v>
      </x:c>
      <x:c r="B75" s="23" t="str">
        <x:v>H2-D1</x:v>
      </x:c>
      <x:c r="C75" s="23" t="str">
        <x:v>HLA-A/HLA-B/HLA-C</x:v>
      </x:c>
      <x:c r="D75" s="23" t="str">
        <x:v>MHC class-I orthology complex</x:v>
      </x:c>
      <x:c r="E75" s="23" t="str">
        <x:v>No curated metabolic role</x:v>
      </x:c>
      <x:c r="F75" s="23" t="str"/>
      <x:c r="G75" s="23" t="str"/>
      <x:c r="H75" s="23" t="str">
        <x:v>No curated cell-death relation</x:v>
      </x:c>
      <x:c r="I75" s="23" t="str"/>
      <x:c r="J75" s="23" t="str"/>
      <x:c r="K75" s="23" t="str">
        <x:v>MHC-I antigen presentation</x:v>
      </x:c>
      <x:c r="L75" s="23" t="str">
        <x:v>Classical mouse MHC-I heavy chain presenting cytosolic peptides to CD8 T cells and interacting with NK-cell receptors.</x:v>
      </x:c>
      <x:c r="M75" s="23" t="str">
        <x:v>High</x:v>
      </x:c>
      <x:c r="N75" s="23" t="str"/>
      <x:c r="O75" s="23" t="str">
        <x:v>https://www.informatics.jax.org/quicksearch/summary?queryType=exactPhrase&amp;query=H2-D1</x:v>
      </x:c>
      <x:c r="P75" s="23" t="str">
        <x:v>https://www.uniprot.org/uniprotkb?query=%28gene_exact%3AH2-D1%29+AND+%28organism_id%3A10090%29</x:v>
      </x:c>
      <x:c r="Q75" s="23" t="str">
        <x:v>https://www.ncbi.nlm.nih.gov/gene/?term=H2-D1%5Bgene%5D%20AND%20Mus%20musculus%5Borgn%5D</x:v>
      </x:c>
      <x:c r="R75" s="23" t="str">
        <x:v>https://reactome.org/content/query?q=H2-D1&amp;species=Mus%20musculus</x:v>
      </x:c>
      <x:c r="S75" s="23" t="str">
        <x:v>https://pubmed.ncbi.nlm.nih.gov/?term=(H2-D1%5BTitle%2FAbstract%5D)%20AND%20(mouse%20OR%20murine)</x:v>
      </x:c>
      <x:c r="T75" s="23" t="str">
        <x:v>Orthology requires caution; No sufficiently supported metabolism or cell-death role curated</x:v>
      </x:c>
    </x:row>
    <x:row r="76">
      <x:c r="A76" s="22" t="n">
        <x:v>73</x:v>
      </x:c>
      <x:c r="B76" s="23" t="str">
        <x:v>H2-Eb1</x:v>
      </x:c>
      <x:c r="C76" s="23" t="str">
        <x:v>HLA-DRB1 family</x:v>
      </x:c>
      <x:c r="D76" s="23" t="str">
        <x:v>MHC class-II orthology complex</x:v>
      </x:c>
      <x:c r="E76" s="23" t="str">
        <x:v>No curated metabolic role</x:v>
      </x:c>
      <x:c r="F76" s="23" t="str"/>
      <x:c r="G76" s="23" t="str"/>
      <x:c r="H76" s="23" t="str">
        <x:v>No curated cell-death relation</x:v>
      </x:c>
      <x:c r="I76" s="23" t="str"/>
      <x:c r="J76" s="23" t="str"/>
      <x:c r="K76" s="23" t="str">
        <x:v>MHC-II antigen presentation</x:v>
      </x:c>
      <x:c r="L76" s="23" t="str">
        <x:v>Mouse MHC-II beta chain contributing to I-E complexes that present peptides to CD4 T cells.</x:v>
      </x:c>
      <x:c r="M76" s="23" t="str">
        <x:v>High</x:v>
      </x:c>
      <x:c r="N76" s="23" t="str"/>
      <x:c r="O76" s="23" t="str">
        <x:v>https://www.informatics.jax.org/quicksearch/summary?queryType=exactPhrase&amp;query=H2-Eb1</x:v>
      </x:c>
      <x:c r="P76" s="23" t="str">
        <x:v>https://www.uniprot.org/uniprotkb?query=%28gene_exact%3AH2-Eb1%29+AND+%28organism_id%3A10090%29</x:v>
      </x:c>
      <x:c r="Q76" s="23" t="str">
        <x:v>https://www.ncbi.nlm.nih.gov/gene/?term=H2-Eb1%5Bgene%5D%20AND%20Mus%20musculus%5Borgn%5D</x:v>
      </x:c>
      <x:c r="R76" s="23" t="str">
        <x:v>https://reactome.org/content/query?q=H2-Eb1&amp;species=Mus%20musculus</x:v>
      </x:c>
      <x:c r="S76" s="23" t="str">
        <x:v>https://pubmed.ncbi.nlm.nih.gov/?term=(H2-Eb1%5BTitle%2FAbstract%5D)%20AND%20(mouse%20OR%20murine)</x:v>
      </x:c>
      <x:c r="T76" s="23" t="str">
        <x:v>Orthology requires caution; No sufficiently supported metabolism or cell-death role curated</x:v>
      </x:c>
    </x:row>
    <x:row r="77">
      <x:c r="A77" s="22" t="n">
        <x:v>74</x:v>
      </x:c>
      <x:c r="B77" s="23" t="str">
        <x:v>H2-K1</x:v>
      </x:c>
      <x:c r="C77" s="23" t="str">
        <x:v>HLA-A/HLA-B/HLA-C</x:v>
      </x:c>
      <x:c r="D77" s="23" t="str">
        <x:v>MHC class-I orthology complex</x:v>
      </x:c>
      <x:c r="E77" s="23" t="str">
        <x:v>No curated metabolic role</x:v>
      </x:c>
      <x:c r="F77" s="23" t="str"/>
      <x:c r="G77" s="23" t="str"/>
      <x:c r="H77" s="23" t="str">
        <x:v>No curated cell-death relation</x:v>
      </x:c>
      <x:c r="I77" s="23" t="str"/>
      <x:c r="J77" s="23" t="str"/>
      <x:c r="K77" s="23" t="str">
        <x:v>MHC-I antigen presentation</x:v>
      </x:c>
      <x:c r="L77" s="23" t="str">
        <x:v>Classical mouse MHC-I heavy chain presenting cytosolic peptides to CD8 T cells and regulating NK-cell recognition.</x:v>
      </x:c>
      <x:c r="M77" s="23" t="str">
        <x:v>High</x:v>
      </x:c>
      <x:c r="N77" s="23" t="str"/>
      <x:c r="O77" s="23" t="str">
        <x:v>https://www.informatics.jax.org/quicksearch/summary?queryType=exactPhrase&amp;query=H2-K1</x:v>
      </x:c>
      <x:c r="P77" s="23" t="str">
        <x:v>https://www.uniprot.org/uniprotkb?query=%28gene_exact%3AH2-K1%29+AND+%28organism_id%3A10090%29</x:v>
      </x:c>
      <x:c r="Q77" s="23" t="str">
        <x:v>https://www.ncbi.nlm.nih.gov/gene/?term=H2-K1%5Bgene%5D%20AND%20Mus%20musculus%5Borgn%5D</x:v>
      </x:c>
      <x:c r="R77" s="23" t="str">
        <x:v>https://reactome.org/content/query?q=H2-K1&amp;species=Mus%20musculus</x:v>
      </x:c>
      <x:c r="S77" s="23" t="str">
        <x:v>https://pubmed.ncbi.nlm.nih.gov/?term=(H2-K1%5BTitle%2FAbstract%5D)%20AND%20(mouse%20OR%20murine)</x:v>
      </x:c>
      <x:c r="T77" s="23" t="str">
        <x:v>Orthology requires caution; No sufficiently supported metabolism or cell-death role curated</x:v>
      </x:c>
    </x:row>
    <x:row r="78">
      <x:c r="A78" s="22" t="n">
        <x:v>75</x:v>
      </x:c>
      <x:c r="B78" s="23" t="str">
        <x:v>H2-M3</x:v>
      </x:c>
      <x:c r="C78" s="23" t="str">
        <x:v>HLA-E/HLA-G (functional analogs)</x:v>
      </x:c>
      <x:c r="D78" s="23" t="str">
        <x:v>Nonclassical MHC; no strict one-to-one mapping</x:v>
      </x:c>
      <x:c r="E78" s="23" t="str">
        <x:v>No curated metabolic role</x:v>
      </x:c>
      <x:c r="F78" s="23" t="str"/>
      <x:c r="G78" s="23" t="str"/>
      <x:c r="H78" s="23" t="str">
        <x:v>No curated cell-death relation</x:v>
      </x:c>
      <x:c r="I78" s="23" t="str"/>
      <x:c r="J78" s="23" t="str"/>
      <x:c r="K78" s="23" t="str">
        <x:v>Nonclassical MHC-I antigen presentation</x:v>
      </x:c>
      <x:c r="L78" s="23" t="str">
        <x:v>Mouse nonclassical MHC-I molecule specialized for presentation of N-formylated microbial/mitochondrial peptides.</x:v>
      </x:c>
      <x:c r="M78" s="23" t="str">
        <x:v>High</x:v>
      </x:c>
      <x:c r="N78" s="23" t="str"/>
      <x:c r="O78" s="23" t="str">
        <x:v>https://www.informatics.jax.org/quicksearch/summary?queryType=exactPhrase&amp;query=H2-M3</x:v>
      </x:c>
      <x:c r="P78" s="23" t="str">
        <x:v>https://www.uniprot.org/uniprotkb?query=%28gene_exact%3AH2-M3%29+AND+%28organism_id%3A10090%29</x:v>
      </x:c>
      <x:c r="Q78" s="23" t="str">
        <x:v>https://www.ncbi.nlm.nih.gov/gene/?term=H2-M3%5Bgene%5D%20AND%20Mus%20musculus%5Borgn%5D</x:v>
      </x:c>
      <x:c r="R78" s="23" t="str">
        <x:v>https://reactome.org/content/query?q=H2-M3&amp;species=Mus%20musculus</x:v>
      </x:c>
      <x:c r="S78" s="23" t="str">
        <x:v>https://pubmed.ncbi.nlm.nih.gov/?term=(H2-M3%5BTitle%2FAbstract%5D)%20AND%20(mouse%20OR%20murine)</x:v>
      </x:c>
      <x:c r="T78" s="23" t="str">
        <x:v>Orthology requires caution; No sufficiently supported metabolism or cell-death role curated</x:v>
      </x:c>
    </x:row>
    <x:row r="79">
      <x:c r="A79" s="22" t="n">
        <x:v>76</x:v>
      </x:c>
      <x:c r="B79" s="23" t="str">
        <x:v>H2-T22</x:v>
      </x:c>
      <x:c r="C79" s="23" t="str"/>
      <x:c r="D79" s="23" t="str">
        <x:v>Mouse nonclassical MHC; no strict human ortholog</x:v>
      </x:c>
      <x:c r="E79" s="23" t="str">
        <x:v>No curated metabolic role</x:v>
      </x:c>
      <x:c r="F79" s="23" t="str"/>
      <x:c r="G79" s="23" t="str"/>
      <x:c r="H79" s="23" t="str">
        <x:v>No curated cell-death relation</x:v>
      </x:c>
      <x:c r="I79" s="23" t="str"/>
      <x:c r="J79" s="23" t="str"/>
      <x:c r="K79" s="23" t="str">
        <x:v>Nonclassical MHC-I; gamma-delta T-cell recognition</x:v>
      </x:c>
      <x:c r="L79" s="23" t="str">
        <x:v>Mouse nonclassical MHC-Ib ligand recognized by subsets of gamma-delta T cells; lacks a strict human ortholog.</x:v>
      </x:c>
      <x:c r="M79" s="23" t="str">
        <x:v>Moderate</x:v>
      </x:c>
      <x:c r="N79" s="23" t="str"/>
      <x:c r="O79" s="23" t="str">
        <x:v>https://www.informatics.jax.org/quicksearch/summary?queryType=exactPhrase&amp;query=H2-T22</x:v>
      </x:c>
      <x:c r="P79" s="23" t="str">
        <x:v>https://www.uniprot.org/uniprotkb?query=%28gene_exact%3AH2-T22%29+AND+%28organism_id%3A10090%29</x:v>
      </x:c>
      <x:c r="Q79" s="23" t="str">
        <x:v>https://www.ncbi.nlm.nih.gov/gene/?term=H2-T22%5Bgene%5D%20AND%20Mus%20musculus%5Borgn%5D</x:v>
      </x:c>
      <x:c r="R79" s="23" t="str">
        <x:v>https://reactome.org/content/query?q=H2-T22&amp;species=Mus%20musculus</x:v>
      </x:c>
      <x:c r="S79" s="23" t="str">
        <x:v>https://pubmed.ncbi.nlm.nih.gov/?term=(H2-T22%5BTitle%2FAbstract%5D)%20AND%20(mouse%20OR%20murine)</x:v>
      </x:c>
      <x:c r="T79" s="23" t="str">
        <x:v>Orthology requires caution; No sufficiently supported metabolism or cell-death role curated</x:v>
      </x:c>
    </x:row>
    <x:row r="80">
      <x:c r="A80" s="22" t="n">
        <x:v>77</x:v>
      </x:c>
      <x:c r="B80" s="23" t="str">
        <x:v>H2-T23</x:v>
      </x:c>
      <x:c r="C80" s="23" t="str"/>
      <x:c r="D80" s="23" t="str">
        <x:v>Mouse nonclassical MHC; no strict human ortholog</x:v>
      </x:c>
      <x:c r="E80" s="23" t="str">
        <x:v>No curated metabolic role</x:v>
      </x:c>
      <x:c r="F80" s="23" t="str"/>
      <x:c r="G80" s="23" t="str"/>
      <x:c r="H80" s="23" t="str">
        <x:v>No curated cell-death relation</x:v>
      </x:c>
      <x:c r="I80" s="23" t="str"/>
      <x:c r="J80" s="23" t="str"/>
      <x:c r="K80" s="23" t="str">
        <x:v>Nonclassical MHC-I; gamma-delta T-cell recognition</x:v>
      </x:c>
      <x:c r="L80" s="23" t="str">
        <x:v>Mouse nonclassical MHC-Ib ligand (T10 family) recognized by subsets of gamma-delta T cells.</x:v>
      </x:c>
      <x:c r="M80" s="23" t="str">
        <x:v>Moderate</x:v>
      </x:c>
      <x:c r="N80" s="23" t="str"/>
      <x:c r="O80" s="23" t="str">
        <x:v>https://www.informatics.jax.org/quicksearch/summary?queryType=exactPhrase&amp;query=H2-T23</x:v>
      </x:c>
      <x:c r="P80" s="23" t="str">
        <x:v>https://www.uniprot.org/uniprotkb?query=%28gene_exact%3AH2-T23%29+AND+%28organism_id%3A10090%29</x:v>
      </x:c>
      <x:c r="Q80" s="23" t="str">
        <x:v>https://www.ncbi.nlm.nih.gov/gene/?term=H2-T23%5Bgene%5D%20AND%20Mus%20musculus%5Borgn%5D</x:v>
      </x:c>
      <x:c r="R80" s="23" t="str">
        <x:v>https://reactome.org/content/query?q=H2-T23&amp;species=Mus%20musculus</x:v>
      </x:c>
      <x:c r="S80" s="23" t="str">
        <x:v>https://pubmed.ncbi.nlm.nih.gov/?term=(H2-T23%5BTitle%2FAbstract%5D)%20AND%20(mouse%20OR%20murine)</x:v>
      </x:c>
      <x:c r="T80" s="23" t="str">
        <x:v>Orthology requires caution; No sufficiently supported metabolism or cell-death role curated</x:v>
      </x:c>
    </x:row>
    <x:row r="81">
      <x:c r="A81" s="22" t="n">
        <x:v>78</x:v>
      </x:c>
      <x:c r="B81" s="23" t="str">
        <x:v>Hcar2</x:v>
      </x:c>
      <x:c r="C81" s="23" t="str">
        <x:v>HCAR2</x:v>
      </x:c>
      <x:c r="D81" s="23" t="str">
        <x:v>Conserved symbol; human ortholog</x:v>
      </x:c>
      <x:c r="E81" s="23" t="str">
        <x:v>Regulatory/contextual metabolic role</x:v>
      </x:c>
      <x:c r="F81" s="23" t="str">
        <x:v>Lipid, sterol and lipoprotein metabolism: Inhibition of adipocyte lipolysis; Metabolic regulation and nutrient sensing: Ketone-body sensing</x:v>
      </x:c>
      <x:c r="G81" s="23" t="str">
        <x:v>Activation by nicotinic acid or beta-hydroxybutyrate lowers cAMP and suppresses hormone-sensitive-lipase-driven triglyceride mobilization.; Recognizes beta-hydroxybutyrate as an endogenous ligand linking fasting/ketosis to immune and adipose signaling.</x:v>
      </x:c>
      <x:c r="H81" s="23" t="str">
        <x:v>No curated cell-death relation</x:v>
      </x:c>
      <x:c r="I81" s="23" t="str"/>
      <x:c r="J81" s="23" t="str"/>
      <x:c r="K81" s="23" t="str">
        <x:v>Hydroxycarboxylic-acid receptor; anti-lipolytic and immune signaling</x:v>
      </x:c>
      <x:c r="L81" s="23" t="str">
        <x:v>Gi-coupled receptor for beta-hydroxybutyrate and nicotinic acid; lowers cAMP and suppresses adipocyte lipolysis while modulating myeloid inflammation.</x:v>
      </x:c>
      <x:c r="M81" s="23" t="str">
        <x:v>High</x:v>
      </x:c>
      <x:c r="N81" s="23" t="str">
        <x:v>UNIPROT2025</x:v>
      </x:c>
      <x:c r="O81" s="23" t="str">
        <x:v>https://www.informatics.jax.org/quicksearch/summary?queryType=exactPhrase&amp;query=Hcar2</x:v>
      </x:c>
      <x:c r="P81" s="23" t="str">
        <x:v>https://www.uniprot.org/uniprotkb?query=%28gene_exact%3AHcar2%29+AND+%28organism_id%3A10090%29</x:v>
      </x:c>
      <x:c r="Q81" s="23" t="str">
        <x:v>https://www.ncbi.nlm.nih.gov/gene/?term=Hcar2%5Bgene%5D%20AND%20Mus%20musculus%5Borgn%5D</x:v>
      </x:c>
      <x:c r="R81" s="23" t="str">
        <x:v>https://reactome.org/content/query?q=Hcar2&amp;species=Mus%20musculus</x:v>
      </x:c>
      <x:c r="S81" s="23" t="str">
        <x:v>https://pubmed.ncbi.nlm.nih.gov/?term=(Hcar2%5BTitle%2FAbstract%5D)%20AND%20(mouse%20OR%20murine)</x:v>
      </x:c>
      <x:c r="T81" s="23" t="str"/>
    </x:row>
    <x:row r="82">
      <x:c r="A82" s="22" t="n">
        <x:v>79</x:v>
      </x:c>
      <x:c r="B82" s="23" t="str">
        <x:v>Hck</x:v>
      </x:c>
      <x:c r="C82" s="23" t="str">
        <x:v>HCK</x:v>
      </x:c>
      <x:c r="D82" s="23" t="str">
        <x:v>Conserved symbol; human ortholog</x:v>
      </x:c>
      <x:c r="E82" s="23" t="str">
        <x:v>No curated metabolic role</x:v>
      </x:c>
      <x:c r="F82" s="23" t="str"/>
      <x:c r="G82" s="23" t="str"/>
      <x:c r="H82" s="23" t="str">
        <x:v>No curated cell-death relation</x:v>
      </x:c>
      <x:c r="I82" s="23" t="str"/>
      <x:c r="J82" s="23" t="str"/>
      <x:c r="K82" s="23" t="str">
        <x:v>Src-family kinase signaling</x:v>
      </x:c>
      <x:c r="L82" s="23" t="str">
        <x:v>Myeloid Src-family kinase downstream of Fc/integrin/cytokine receptors, controlling phagocytosis, migration and inflammatory signaling.</x:v>
      </x:c>
      <x:c r="M82" s="23" t="str">
        <x:v>High</x:v>
      </x:c>
      <x:c r="N82" s="23" t="str"/>
      <x:c r="O82" s="23" t="str">
        <x:v>https://www.informatics.jax.org/quicksearch/summary?queryType=exactPhrase&amp;query=Hck</x:v>
      </x:c>
      <x:c r="P82" s="23" t="str">
        <x:v>https://www.uniprot.org/uniprotkb?query=%28gene_exact%3AHck%29+AND+%28organism_id%3A10090%29</x:v>
      </x:c>
      <x:c r="Q82" s="23" t="str">
        <x:v>https://www.ncbi.nlm.nih.gov/gene/?term=Hck%5Bgene%5D%20AND%20Mus%20musculus%5Borgn%5D</x:v>
      </x:c>
      <x:c r="R82" s="23" t="str">
        <x:v>https://reactome.org/content/query?q=Hck&amp;species=Mus%20musculus</x:v>
      </x:c>
      <x:c r="S82" s="23" t="str">
        <x:v>https://pubmed.ncbi.nlm.nih.gov/?term=(Hck%5BTitle%2FAbstract%5D)%20AND%20(mouse%20OR%20murine)</x:v>
      </x:c>
      <x:c r="T82" s="23" t="str">
        <x:v>No sufficiently supported metabolism or cell-death role curated</x:v>
      </x:c>
    </x:row>
    <x:row r="83">
      <x:c r="A83" s="22" t="n">
        <x:v>80</x:v>
      </x:c>
      <x:c r="B83" s="23" t="str">
        <x:v>Hk3</x:v>
      </x:c>
      <x:c r="C83" s="23" t="str">
        <x:v>HK3</x:v>
      </x:c>
      <x:c r="D83" s="23" t="str">
        <x:v>Conserved symbol; human ortholog</x:v>
      </x:c>
      <x:c r="E83" s="23" t="str">
        <x:v>Direct biochemical/transport role</x:v>
      </x:c>
      <x:c r="F83" s="23" t="str">
        <x:v>Carbohydrate and central-carbon metabolism: Glycolysis/glucose phosphorylation</x:v>
      </x:c>
      <x:c r="G83" s="23" t="str">
        <x:v>Catalyzes glucose + ATP to glucose-6-phosphate + ADP, retaining glucose in the cell for glycolysis, pentose-phosphate pathway or glycogen synthesis.</x:v>
      </x:c>
      <x:c r="H83" s="23" t="str">
        <x:v>No curated cell-death relation</x:v>
      </x:c>
      <x:c r="I83" s="23" t="str"/>
      <x:c r="J83" s="23" t="str"/>
      <x:c r="K83" s="23" t="str">
        <x:v>Glycolysis</x:v>
      </x:c>
      <x:c r="L83" s="23" t="str">
        <x:v>Hexokinase isozyme that phosphorylates glucose to glucose-6-phosphate, committing glucose to intracellular metabolism.</x:v>
      </x:c>
      <x:c r="M83" s="23" t="str">
        <x:v>High</x:v>
      </x:c>
      <x:c r="N83" s="23" t="str">
        <x:v>UNIPROT2025; REACTOME2024</x:v>
      </x:c>
      <x:c r="O83" s="23" t="str">
        <x:v>https://www.informatics.jax.org/quicksearch/summary?queryType=exactPhrase&amp;query=Hk3</x:v>
      </x:c>
      <x:c r="P83" s="23" t="str">
        <x:v>https://www.uniprot.org/uniprotkb?query=%28gene_exact%3AHk3%29+AND+%28organism_id%3A10090%29</x:v>
      </x:c>
      <x:c r="Q83" s="23" t="str">
        <x:v>https://www.ncbi.nlm.nih.gov/gene/?term=Hk3%5Bgene%5D%20AND%20Mus%20musculus%5Borgn%5D</x:v>
      </x:c>
      <x:c r="R83" s="23" t="str">
        <x:v>https://reactome.org/content/query?q=Hk3&amp;species=Mus%20musculus</x:v>
      </x:c>
      <x:c r="S83" s="23" t="str">
        <x:v>https://pubmed.ncbi.nlm.nih.gov/?term=(Hk3%5BTitle%2FAbstract%5D)%20AND%20(mouse%20OR%20murine)</x:v>
      </x:c>
      <x:c r="T83" s="23" t="str"/>
    </x:row>
    <x:row r="84">
      <x:c r="A84" s="22" t="n">
        <x:v>81</x:v>
      </x:c>
      <x:c r="B84" s="23" t="str">
        <x:v>Hp</x:v>
      </x:c>
      <x:c r="C84" s="23" t="str">
        <x:v>HP</x:v>
      </x:c>
      <x:c r="D84" s="23" t="str">
        <x:v>Conserved symbol; human ortholog</x:v>
      </x:c>
      <x:c r="E84" s="23" t="str">
        <x:v>Direct biochemical/transport role</x:v>
      </x:c>
      <x:c r="F84" s="23" t="str">
        <x:v>Metal, iron and heme homeostasis: Hemoglobin/heme scavenging</x:v>
      </x:c>
      <x:c r="G84" s="23" t="str">
        <x:v>Binds cell-free hemoglobin, limits heme iron-mediated oxidation and promotes CD163-dependent clearance.</x:v>
      </x:c>
      <x:c r="H84" s="23" t="str">
        <x:v>No curated cell-death relation</x:v>
      </x:c>
      <x:c r="I84" s="23" t="str"/>
      <x:c r="J84" s="23" t="str"/>
      <x:c r="K84" s="23" t="str">
        <x:v>Hemoglobin scavenging; heme/iron protection</x:v>
      </x:c>
      <x:c r="L84" s="23" t="str">
        <x:v>Secreted haptoglobin binds free hemoglobin, limits heme-driven oxidative damage and enables CD163-mediated clearance.</x:v>
      </x:c>
      <x:c r="M84" s="23" t="str">
        <x:v>High</x:v>
      </x:c>
      <x:c r="N84" s="23" t="str">
        <x:v>UNIPROT2025; REACTOME2024</x:v>
      </x:c>
      <x:c r="O84" s="23" t="str">
        <x:v>https://www.informatics.jax.org/quicksearch/summary?queryType=exactPhrase&amp;query=Hp</x:v>
      </x:c>
      <x:c r="P84" s="23" t="str">
        <x:v>https://www.uniprot.org/uniprotkb?query=%28gene_exact%3AHp%29+AND+%28organism_id%3A10090%29</x:v>
      </x:c>
      <x:c r="Q84" s="23" t="str">
        <x:v>https://www.ncbi.nlm.nih.gov/gene/?term=Hp%5Bgene%5D%20AND%20Mus%20musculus%5Borgn%5D</x:v>
      </x:c>
      <x:c r="R84" s="23" t="str">
        <x:v>https://reactome.org/content/query?q=Hp&amp;species=Mus%20musculus</x:v>
      </x:c>
      <x:c r="S84" s="23" t="str">
        <x:v>https://pubmed.ncbi.nlm.nih.gov/?term=(Hp%5BTitle%2FAbstract%5D)%20AND%20(mouse%20OR%20murine)</x:v>
      </x:c>
      <x:c r="T84" s="23" t="str"/>
    </x:row>
    <x:row r="85">
      <x:c r="A85" s="22" t="n">
        <x:v>82</x:v>
      </x:c>
      <x:c r="B85" s="23" t="str">
        <x:v>Hspbp1</x:v>
      </x:c>
      <x:c r="C85" s="23" t="str">
        <x:v>HSPBP1</x:v>
      </x:c>
      <x:c r="D85" s="23" t="str">
        <x:v>Conserved symbol; human ortholog</x:v>
      </x:c>
      <x:c r="E85" s="23" t="str">
        <x:v>Direct biochemical/transport role</x:v>
      </x:c>
      <x:c r="F85" s="23" t="str">
        <x:v>Protein turnover, processing and proteostasis: HSP70 chaperone cycle</x:v>
      </x:c>
      <x:c r="G85" s="23" t="str">
        <x:v>Modulates HSP70 nucleotide cycling and client-protein folding or degradation decisions.</x:v>
      </x:c>
      <x:c r="H85" s="23" t="str">
        <x:v>No curated cell-death relation</x:v>
      </x:c>
      <x:c r="I85" s="23" t="str"/>
      <x:c r="J85" s="23" t="str"/>
      <x:c r="K85" s="23" t="str">
        <x:v>Chaperone regulation</x:v>
      </x:c>
      <x:c r="L85" s="23" t="str">
        <x:v>Nucleotide-exchange/co-chaperone protein that regulates HSP70 activity and protein quality-control decisions.</x:v>
      </x:c>
      <x:c r="M85" s="23" t="str">
        <x:v>High</x:v>
      </x:c>
      <x:c r="N85" s="23" t="str">
        <x:v>UNIPROT2025</x:v>
      </x:c>
      <x:c r="O85" s="23" t="str">
        <x:v>https://www.informatics.jax.org/quicksearch/summary?queryType=exactPhrase&amp;query=Hspbp1</x:v>
      </x:c>
      <x:c r="P85" s="23" t="str">
        <x:v>https://www.uniprot.org/uniprotkb?query=%28gene_exact%3AHspbp1%29+AND+%28organism_id%3A10090%29</x:v>
      </x:c>
      <x:c r="Q85" s="23" t="str">
        <x:v>https://www.ncbi.nlm.nih.gov/gene/?term=Hspbp1%5Bgene%5D%20AND%20Mus%20musculus%5Borgn%5D</x:v>
      </x:c>
      <x:c r="R85" s="23" t="str">
        <x:v>https://reactome.org/content/query?q=Hspbp1&amp;species=Mus%20musculus</x:v>
      </x:c>
      <x:c r="S85" s="23" t="str">
        <x:v>https://pubmed.ncbi.nlm.nih.gov/?term=(Hspbp1%5BTitle%2FAbstract%5D)%20AND%20(mouse%20OR%20murine)</x:v>
      </x:c>
      <x:c r="T85" s="23" t="str"/>
    </x:row>
    <x:row r="86">
      <x:c r="A86" s="22" t="n">
        <x:v>83</x:v>
      </x:c>
      <x:c r="B86" s="23" t="str">
        <x:v>Ifi204</x:v>
      </x:c>
      <x:c r="C86" s="23" t="str">
        <x:v>IFI16/PYHIN1 (family analogs)</x:v>
      </x:c>
      <x:c r="D86" s="23" t="str">
        <x:v>Expanded PYHIN family; no strict one-to-one mapping</x:v>
      </x:c>
      <x:c r="E86" s="23" t="str">
        <x:v>No curated metabolic role</x:v>
      </x:c>
      <x:c r="F86" s="23" t="str"/>
      <x:c r="G86" s="23" t="str"/>
      <x:c r="H86" s="23" t="str">
        <x:v>Contextual cell-death modifier</x:v>
      </x:c>
      <x:c r="I86" s="23" t="str">
        <x:v>Pyroptosis / inflammasome-associated death</x:v>
      </x:c>
      <x:c r="J86" s="23" t="str">
        <x:v>Upstream DNA-sensing modifier: Mouse IFI204 can sense cytosolic DNA and promote inflammasome-caspase-GSDMD signaling in selected models.</x:v>
      </x:c>
      <x:c r="K86" s="23" t="str">
        <x:v>Cytosolic DNA sensing; interferon/inflammasome signaling</x:v>
      </x:c>
      <x:c r="L86" s="23" t="str">
        <x:v>Mouse PYHIN-family DNA-binding protein involved in innate DNA sensing, transcriptional control and context-dependent inflammasome or growth-arrest responses.</x:v>
      </x:c>
      <x:c r="M86" s="23" t="str">
        <x:v>Moderate</x:v>
      </x:c>
      <x:c r="N86" s="23" t="str">
        <x:v>GSDMD2015; NCCD2018</x:v>
      </x:c>
      <x:c r="O86" s="23" t="str">
        <x:v>https://www.informatics.jax.org/quicksearch/summary?queryType=exactPhrase&amp;query=Ifi204</x:v>
      </x:c>
      <x:c r="P86" s="23" t="str">
        <x:v>https://www.uniprot.org/uniprotkb?query=%28gene_exact%3AIfi204%29+AND+%28organism_id%3A10090%29</x:v>
      </x:c>
      <x:c r="Q86" s="23" t="str">
        <x:v>https://www.ncbi.nlm.nih.gov/gene/?term=Ifi204%5Bgene%5D%20AND%20Mus%20musculus%5Borgn%5D</x:v>
      </x:c>
      <x:c r="R86" s="23" t="str">
        <x:v>https://reactome.org/content/query?q=Ifi204&amp;species=Mus%20musculus</x:v>
      </x:c>
      <x:c r="S86" s="23" t="str">
        <x:v>https://pubmed.ncbi.nlm.nih.gov/?term=(Ifi204%5BTitle%2FAbstract%5D)%20AND%20(mouse%20OR%20murine)</x:v>
      </x:c>
      <x:c r="T86" s="23" t="str">
        <x:v>Orthology requires caution</x:v>
      </x:c>
    </x:row>
    <x:row r="87">
      <x:c r="A87" s="22" t="n">
        <x:v>84</x:v>
      </x:c>
      <x:c r="B87" s="23" t="str">
        <x:v>Ifi207</x:v>
      </x:c>
      <x:c r="C87" s="23" t="str"/>
      <x:c r="D87" s="23" t="str">
        <x:v>No confident human ortholog identified</x:v>
      </x:c>
      <x:c r="E87" s="23" t="str">
        <x:v>No curated metabolic role</x:v>
      </x:c>
      <x:c r="F87" s="23" t="str"/>
      <x:c r="G87" s="23" t="str"/>
      <x:c r="H87" s="23" t="str">
        <x:v>No curated cell-death relation</x:v>
      </x:c>
      <x:c r="I87" s="23" t="str"/>
      <x:c r="J87" s="23" t="str"/>
      <x:c r="K87" s="23" t="str">
        <x:v>Interferon response; poorly characterized</x:v>
      </x:c>
      <x:c r="L87" s="23" t="str">
        <x:v>Mouse interferon-inducible gene with limited mechanistic characterization and no confident human ortholog.</x:v>
      </x:c>
      <x:c r="M87" s="23" t="str">
        <x:v>Low</x:v>
      </x:c>
      <x:c r="N87" s="23" t="str"/>
      <x:c r="O87" s="23" t="str">
        <x:v>https://www.informatics.jax.org/quicksearch/summary?queryType=exactPhrase&amp;query=Ifi207</x:v>
      </x:c>
      <x:c r="P87" s="23" t="str">
        <x:v>https://www.uniprot.org/uniprotkb?query=%28gene_exact%3AIfi207%29+AND+%28organism_id%3A10090%29</x:v>
      </x:c>
      <x:c r="Q87" s="23" t="str">
        <x:v>https://www.ncbi.nlm.nih.gov/gene/?term=Ifi207%5Bgene%5D%20AND%20Mus%20musculus%5Borgn%5D</x:v>
      </x:c>
      <x:c r="R87" s="23" t="str">
        <x:v>https://reactome.org/content/query?q=Ifi207&amp;species=Mus%20musculus</x:v>
      </x:c>
      <x:c r="S87" s="23" t="str">
        <x:v>https://pubmed.ncbi.nlm.nih.gov/?term=(Ifi207%5BTitle%2FAbstract%5D)%20AND%20(mouse%20OR%20murine)</x:v>
      </x:c>
      <x:c r="T87" s="23" t="str">
        <x:v>Orthology requires caution; Function is poorly characterized or mainly predicted; No sufficiently supported metabolism or cell-death role curated</x:v>
      </x:c>
    </x:row>
    <x:row r="88">
      <x:c r="A88" s="22" t="n">
        <x:v>85</x:v>
      </x:c>
      <x:c r="B88" s="23" t="str">
        <x:v>Ifi27l2a</x:v>
      </x:c>
      <x:c r="C88" s="23" t="str">
        <x:v>IFI27L2</x:v>
      </x:c>
      <x:c r="D88" s="23" t="str">
        <x:v>Conserved ortholog with symbol change</x:v>
      </x:c>
      <x:c r="E88" s="23" t="str">
        <x:v>No curated metabolic role</x:v>
      </x:c>
      <x:c r="F88" s="23" t="str"/>
      <x:c r="G88" s="23" t="str"/>
      <x:c r="H88" s="23" t="str">
        <x:v>Contextual cell-death modifier</x:v>
      </x:c>
      <x:c r="I88" s="23" t="str">
        <x:v>Apoptosis / interferon-associated death</x:v>
      </x:c>
      <x:c r="J88" s="23" t="str">
        <x:v>Contextual mitochondrial/stress modifier: Interferon-induced IFI27-family proteins have been linked to mitochondrial dysfunction and apoptosis in selected cells.</x:v>
      </x:c>
      <x:c r="K88" s="23" t="str">
        <x:v>Interferon response; mitochondrial/stress biology</x:v>
      </x:c>
      <x:c r="L88" s="23" t="str">
        <x:v>Interferon-inducible small protein associated with antiviral and stress responses; reported death effects are context dependent.</x:v>
      </x:c>
      <x:c r="M88" s="23" t="str">
        <x:v>Moderate</x:v>
      </x:c>
      <x:c r="N88" s="23" t="str">
        <x:v>NCCD2018</x:v>
      </x:c>
      <x:c r="O88" s="23" t="str">
        <x:v>https://www.informatics.jax.org/quicksearch/summary?queryType=exactPhrase&amp;query=Ifi27l2a</x:v>
      </x:c>
      <x:c r="P88" s="23" t="str">
        <x:v>https://www.uniprot.org/uniprotkb?query=%28gene_exact%3AIfi27l2a%29+AND+%28organism_id%3A10090%29</x:v>
      </x:c>
      <x:c r="Q88" s="23" t="str">
        <x:v>https://www.ncbi.nlm.nih.gov/gene/?term=Ifi27l2a%5Bgene%5D%20AND%20Mus%20musculus%5Borgn%5D</x:v>
      </x:c>
      <x:c r="R88" s="23" t="str">
        <x:v>https://reactome.org/content/query?q=Ifi27l2a&amp;species=Mus%20musculus</x:v>
      </x:c>
      <x:c r="S88" s="23" t="str">
        <x:v>https://pubmed.ncbi.nlm.nih.gov/?term=(Ifi27l2a%5BTitle%2FAbstract%5D)%20AND%20(mouse%20OR%20murine)</x:v>
      </x:c>
      <x:c r="T88" s="23" t="str"/>
    </x:row>
    <x:row r="89">
      <x:c r="A89" s="22" t="n">
        <x:v>86</x:v>
      </x:c>
      <x:c r="B89" s="23" t="str">
        <x:v>Ifi30</x:v>
      </x:c>
      <x:c r="C89" s="23" t="str">
        <x:v>IFI30</x:v>
      </x:c>
      <x:c r="D89" s="23" t="str">
        <x:v>Conserved symbol; human ortholog</x:v>
      </x:c>
      <x:c r="E89" s="23" t="str">
        <x:v>Direct biochemical/transport role</x:v>
      </x:c>
      <x:c r="F89" s="23" t="str">
        <x:v>Redox metabolism: Endolysosomal disulfide reduction</x:v>
      </x:c>
      <x:c r="G89" s="23" t="str">
        <x:v>Reduces disulfide bonds in internalized proteins at acidic pH to facilitate unfolding and antigen processing.</x:v>
      </x:c>
      <x:c r="H89" s="23" t="str">
        <x:v>No curated cell-death relation</x:v>
      </x:c>
      <x:c r="I89" s="23" t="str"/>
      <x:c r="J89" s="23" t="str"/>
      <x:c r="K89" s="23" t="str">
        <x:v>Endolysosomal redox processing; antigen presentation</x:v>
      </x:c>
      <x:c r="L89" s="23" t="str">
        <x:v>Gamma-interferon-inducible lysosomal thiol reductase that reduces disulfide bonds in internalized proteins to facilitate MHC-II processing.</x:v>
      </x:c>
      <x:c r="M89" s="23" t="str">
        <x:v>High</x:v>
      </x:c>
      <x:c r="N89" s="23" t="str">
        <x:v>UNIPROT2025; REACTOME2024</x:v>
      </x:c>
      <x:c r="O89" s="23" t="str">
        <x:v>https://www.informatics.jax.org/quicksearch/summary?queryType=exactPhrase&amp;query=Ifi30</x:v>
      </x:c>
      <x:c r="P89" s="23" t="str">
        <x:v>https://www.uniprot.org/uniprotkb?query=%28gene_exact%3AIfi30%29+AND+%28organism_id%3A10090%29</x:v>
      </x:c>
      <x:c r="Q89" s="23" t="str">
        <x:v>https://www.ncbi.nlm.nih.gov/gene/?term=Ifi30%5Bgene%5D%20AND%20Mus%20musculus%5Borgn%5D</x:v>
      </x:c>
      <x:c r="R89" s="23" t="str">
        <x:v>https://reactome.org/content/query?q=Ifi30&amp;species=Mus%20musculus</x:v>
      </x:c>
      <x:c r="S89" s="23" t="str">
        <x:v>https://pubmed.ncbi.nlm.nih.gov/?term=(Ifi30%5BTitle%2FAbstract%5D)%20AND%20(mouse%20OR%20murine)</x:v>
      </x:c>
      <x:c r="T89" s="23" t="str"/>
    </x:row>
    <x:row r="90">
      <x:c r="A90" s="22" t="n">
        <x:v>87</x:v>
      </x:c>
      <x:c r="B90" s="23" t="str">
        <x:v>Ifitm1</x:v>
      </x:c>
      <x:c r="C90" s="23" t="str">
        <x:v>IFITM1</x:v>
      </x:c>
      <x:c r="D90" s="23" t="str">
        <x:v>Conserved symbol; human ortholog</x:v>
      </x:c>
      <x:c r="E90" s="23" t="str">
        <x:v>No curated metabolic role</x:v>
      </x:c>
      <x:c r="F90" s="23" t="str"/>
      <x:c r="G90" s="23" t="str"/>
      <x:c r="H90" s="23" t="str">
        <x:v>No curated cell-death relation</x:v>
      </x:c>
      <x:c r="I90" s="23" t="str"/>
      <x:c r="J90" s="23" t="str"/>
      <x:c r="K90" s="23" t="str">
        <x:v>Antiviral membrane restriction</x:v>
      </x:c>
      <x:c r="L90" s="23" t="str">
        <x:v>Interferon-induced transmembrane protein that alters endosomal/plasma-membrane properties and restricts entry of selected enveloped viruses.</x:v>
      </x:c>
      <x:c r="M90" s="23" t="str">
        <x:v>High</x:v>
      </x:c>
      <x:c r="N90" s="23" t="str"/>
      <x:c r="O90" s="23" t="str">
        <x:v>https://www.informatics.jax.org/quicksearch/summary?queryType=exactPhrase&amp;query=Ifitm1</x:v>
      </x:c>
      <x:c r="P90" s="23" t="str">
        <x:v>https://www.uniprot.org/uniprotkb?query=%28gene_exact%3AIfitm1%29+AND+%28organism_id%3A10090%29</x:v>
      </x:c>
      <x:c r="Q90" s="23" t="str">
        <x:v>https://www.ncbi.nlm.nih.gov/gene/?term=Ifitm1%5Bgene%5D%20AND%20Mus%20musculus%5Borgn%5D</x:v>
      </x:c>
      <x:c r="R90" s="23" t="str">
        <x:v>https://reactome.org/content/query?q=Ifitm1&amp;species=Mus%20musculus</x:v>
      </x:c>
      <x:c r="S90" s="23" t="str">
        <x:v>https://pubmed.ncbi.nlm.nih.gov/?term=(Ifitm1%5BTitle%2FAbstract%5D)%20AND%20(mouse%20OR%20murine)</x:v>
      </x:c>
      <x:c r="T90" s="23" t="str">
        <x:v>No sufficiently supported metabolism or cell-death role curated</x:v>
      </x:c>
    </x:row>
    <x:row r="91">
      <x:c r="A91" s="22" t="n">
        <x:v>88</x:v>
      </x:c>
      <x:c r="B91" s="23" t="str">
        <x:v>Ifitm3</x:v>
      </x:c>
      <x:c r="C91" s="23" t="str">
        <x:v>IFITM3</x:v>
      </x:c>
      <x:c r="D91" s="23" t="str">
        <x:v>Conserved symbol; human ortholog</x:v>
      </x:c>
      <x:c r="E91" s="23" t="str">
        <x:v>No curated metabolic role</x:v>
      </x:c>
      <x:c r="F91" s="23" t="str"/>
      <x:c r="G91" s="23" t="str"/>
      <x:c r="H91" s="23" t="str">
        <x:v>No curated cell-death relation</x:v>
      </x:c>
      <x:c r="I91" s="23" t="str"/>
      <x:c r="J91" s="23" t="str"/>
      <x:c r="K91" s="23" t="str">
        <x:v>Antiviral membrane restriction</x:v>
      </x:c>
      <x:c r="L91" s="23" t="str">
        <x:v>Endolysosomal interferon-induced transmembrane protein restricting fusion/entry of influenza and multiple enveloped viruses.</x:v>
      </x:c>
      <x:c r="M91" s="23" t="str">
        <x:v>High</x:v>
      </x:c>
      <x:c r="N91" s="23" t="str"/>
      <x:c r="O91" s="23" t="str">
        <x:v>https://www.informatics.jax.org/quicksearch/summary?queryType=exactPhrase&amp;query=Ifitm3</x:v>
      </x:c>
      <x:c r="P91" s="23" t="str">
        <x:v>https://www.uniprot.org/uniprotkb?query=%28gene_exact%3AIfitm3%29+AND+%28organism_id%3A10090%29</x:v>
      </x:c>
      <x:c r="Q91" s="23" t="str">
        <x:v>https://www.ncbi.nlm.nih.gov/gene/?term=Ifitm3%5Bgene%5D%20AND%20Mus%20musculus%5Borgn%5D</x:v>
      </x:c>
      <x:c r="R91" s="23" t="str">
        <x:v>https://reactome.org/content/query?q=Ifitm3&amp;species=Mus%20musculus</x:v>
      </x:c>
      <x:c r="S91" s="23" t="str">
        <x:v>https://pubmed.ncbi.nlm.nih.gov/?term=(Ifitm3%5BTitle%2FAbstract%5D)%20AND%20(mouse%20OR%20murine)</x:v>
      </x:c>
      <x:c r="T91" s="23" t="str">
        <x:v>No sufficiently supported metabolism or cell-death role curated</x:v>
      </x:c>
    </x:row>
    <x:row r="92">
      <x:c r="A92" s="22" t="n">
        <x:v>89</x:v>
      </x:c>
      <x:c r="B92" s="23" t="str">
        <x:v>Igtp</x:v>
      </x:c>
      <x:c r="C92" s="23" t="str">
        <x:v>IRGM (distant functional analog)</x:v>
      </x:c>
      <x:c r="D92" s="23" t="str">
        <x:v>Expanded mouse IRG family; not a strict one-to-one mapping</x:v>
      </x:c>
      <x:c r="E92" s="23" t="str">
        <x:v>No curated metabolic role</x:v>
      </x:c>
      <x:c r="F92" s="23" t="str"/>
      <x:c r="G92" s="23" t="str"/>
      <x:c r="H92" s="23" t="str">
        <x:v>No curated cell-death relation</x:v>
      </x:c>
      <x:c r="I92" s="23" t="str"/>
      <x:c r="J92" s="23" t="str"/>
      <x:c r="K92" s="23" t="str">
        <x:v>Interferon-induced cell-autonomous immunity</x:v>
      </x:c>
      <x:c r="L92" s="23" t="str">
        <x:v>Mouse immunity-related GTPase that supports resistance to intracellular pathogens; human IRGM is only a distant functional analog.</x:v>
      </x:c>
      <x:c r="M92" s="23" t="str">
        <x:v>High</x:v>
      </x:c>
      <x:c r="N92" s="23" t="str"/>
      <x:c r="O92" s="23" t="str">
        <x:v>https://www.informatics.jax.org/quicksearch/summary?queryType=exactPhrase&amp;query=Igtp</x:v>
      </x:c>
      <x:c r="P92" s="23" t="str">
        <x:v>https://www.uniprot.org/uniprotkb?query=%28gene_exact%3AIgtp%29+AND+%28organism_id%3A10090%29</x:v>
      </x:c>
      <x:c r="Q92" s="23" t="str">
        <x:v>https://www.ncbi.nlm.nih.gov/gene/?term=Igtp%5Bgene%5D%20AND%20Mus%20musculus%5Borgn%5D</x:v>
      </x:c>
      <x:c r="R92" s="23" t="str">
        <x:v>https://reactome.org/content/query?q=Igtp&amp;species=Mus%20musculus</x:v>
      </x:c>
      <x:c r="S92" s="23" t="str">
        <x:v>https://pubmed.ncbi.nlm.nih.gov/?term=(Igtp%5BTitle%2FAbstract%5D)%20AND%20(mouse%20OR%20murine)</x:v>
      </x:c>
      <x:c r="T92" s="23" t="str">
        <x:v>No sufficiently supported metabolism or cell-death role curated</x:v>
      </x:c>
    </x:row>
    <x:row r="93">
      <x:c r="A93" s="22" t="n">
        <x:v>90</x:v>
      </x:c>
      <x:c r="B93" s="23" t="str">
        <x:v>Il10ra</x:v>
      </x:c>
      <x:c r="C93" s="23" t="str">
        <x:v>IL10RA</x:v>
      </x:c>
      <x:c r="D93" s="23" t="str">
        <x:v>Conserved symbol; human ortholog</x:v>
      </x:c>
      <x:c r="E93" s="23" t="str">
        <x:v>No curated metabolic role</x:v>
      </x:c>
      <x:c r="F93" s="23" t="str"/>
      <x:c r="G93" s="23" t="str"/>
      <x:c r="H93" s="23" t="str">
        <x:v>No curated cell-death relation</x:v>
      </x:c>
      <x:c r="I93" s="23" t="str"/>
      <x:c r="J93" s="23" t="str"/>
      <x:c r="K93" s="23" t="str">
        <x:v>IL-10 anti-inflammatory signaling</x:v>
      </x:c>
      <x:c r="L93" s="23" t="str">
        <x:v>Ligand-binding IL-10 receptor chain that pairs with IL10RB to activate JAK1/TYK2-STAT3 and restrain inflammatory programs.</x:v>
      </x:c>
      <x:c r="M93" s="23" t="str">
        <x:v>High</x:v>
      </x:c>
      <x:c r="N93" s="23" t="str"/>
      <x:c r="O93" s="23" t="str">
        <x:v>https://www.informatics.jax.org/quicksearch/summary?queryType=exactPhrase&amp;query=Il10ra</x:v>
      </x:c>
      <x:c r="P93" s="23" t="str">
        <x:v>https://www.uniprot.org/uniprotkb?query=%28gene_exact%3AIl10ra%29+AND+%28organism_id%3A10090%29</x:v>
      </x:c>
      <x:c r="Q93" s="23" t="str">
        <x:v>https://www.ncbi.nlm.nih.gov/gene/?term=Il10ra%5Bgene%5D%20AND%20Mus%20musculus%5Borgn%5D</x:v>
      </x:c>
      <x:c r="R93" s="23" t="str">
        <x:v>https://reactome.org/content/query?q=Il10ra&amp;species=Mus%20musculus</x:v>
      </x:c>
      <x:c r="S93" s="23" t="str">
        <x:v>https://pubmed.ncbi.nlm.nih.gov/?term=(Il10ra%5BTitle%2FAbstract%5D)%20AND%20(mouse%20OR%20murine)</x:v>
      </x:c>
      <x:c r="T93" s="23" t="str">
        <x:v>No sufficiently supported metabolism or cell-death role curated</x:v>
      </x:c>
    </x:row>
    <x:row r="94">
      <x:c r="A94" s="22" t="n">
        <x:v>91</x:v>
      </x:c>
      <x:c r="B94" s="23" t="str">
        <x:v>Il10rb</x:v>
      </x:c>
      <x:c r="C94" s="23" t="str">
        <x:v>IL10RB</x:v>
      </x:c>
      <x:c r="D94" s="23" t="str">
        <x:v>Conserved symbol; human ortholog</x:v>
      </x:c>
      <x:c r="E94" s="23" t="str">
        <x:v>No curated metabolic role</x:v>
      </x:c>
      <x:c r="F94" s="23" t="str"/>
      <x:c r="G94" s="23" t="str"/>
      <x:c r="H94" s="23" t="str">
        <x:v>No curated cell-death relation</x:v>
      </x:c>
      <x:c r="I94" s="23" t="str"/>
      <x:c r="J94" s="23" t="str"/>
      <x:c r="K94" s="23" t="str">
        <x:v>Class-II cytokine receptor signaling</x:v>
      </x:c>
      <x:c r="L94" s="23" t="str">
        <x:v>Shared receptor chain used by IL-10, IL-22, IL-26 and type-III interferons, coupling to TYK2/JAK-STAT signaling.</x:v>
      </x:c>
      <x:c r="M94" s="23" t="str">
        <x:v>High</x:v>
      </x:c>
      <x:c r="N94" s="23" t="str"/>
      <x:c r="O94" s="23" t="str">
        <x:v>https://www.informatics.jax.org/quicksearch/summary?queryType=exactPhrase&amp;query=Il10rb</x:v>
      </x:c>
      <x:c r="P94" s="23" t="str">
        <x:v>https://www.uniprot.org/uniprotkb?query=%28gene_exact%3AIl10rb%29+AND+%28organism_id%3A10090%29</x:v>
      </x:c>
      <x:c r="Q94" s="23" t="str">
        <x:v>https://www.ncbi.nlm.nih.gov/gene/?term=Il10rb%5Bgene%5D%20AND%20Mus%20musculus%5Borgn%5D</x:v>
      </x:c>
      <x:c r="R94" s="23" t="str">
        <x:v>https://reactome.org/content/query?q=Il10rb&amp;species=Mus%20musculus</x:v>
      </x:c>
      <x:c r="S94" s="23" t="str">
        <x:v>https://pubmed.ncbi.nlm.nih.gov/?term=(Il10rb%5BTitle%2FAbstract%5D)%20AND%20(mouse%20OR%20murine)</x:v>
      </x:c>
      <x:c r="T94" s="23" t="str">
        <x:v>No sufficiently supported metabolism or cell-death role curated</x:v>
      </x:c>
    </x:row>
    <x:row r="95">
      <x:c r="A95" s="22" t="n">
        <x:v>92</x:v>
      </x:c>
      <x:c r="B95" s="23" t="str">
        <x:v>Il18rap</x:v>
      </x:c>
      <x:c r="C95" s="23" t="str">
        <x:v>IL18RAP</x:v>
      </x:c>
      <x:c r="D95" s="23" t="str">
        <x:v>Conserved symbol; human ortholog</x:v>
      </x:c>
      <x:c r="E95" s="23" t="str">
        <x:v>No curated metabolic role</x:v>
      </x:c>
      <x:c r="F95" s="23" t="str"/>
      <x:c r="G95" s="23" t="str"/>
      <x:c r="H95" s="23" t="str">
        <x:v>No curated cell-death relation</x:v>
      </x:c>
      <x:c r="I95" s="23" t="str"/>
      <x:c r="J95" s="23" t="str"/>
      <x:c r="K95" s="23" t="str">
        <x:v>IL-18 signaling</x:v>
      </x:c>
      <x:c r="L95" s="23" t="str">
        <x:v>Accessory receptor chain that complexes with IL18R1 to trigger MYD88-NF-kappaB/MAPK signaling and IFN-gamma production.</x:v>
      </x:c>
      <x:c r="M95" s="23" t="str">
        <x:v>High</x:v>
      </x:c>
      <x:c r="N95" s="23" t="str"/>
      <x:c r="O95" s="23" t="str">
        <x:v>https://www.informatics.jax.org/quicksearch/summary?queryType=exactPhrase&amp;query=Il18rap</x:v>
      </x:c>
      <x:c r="P95" s="23" t="str">
        <x:v>https://www.uniprot.org/uniprotkb?query=%28gene_exact%3AIl18rap%29+AND+%28organism_id%3A10090%29</x:v>
      </x:c>
      <x:c r="Q95" s="23" t="str">
        <x:v>https://www.ncbi.nlm.nih.gov/gene/?term=Il18rap%5Bgene%5D%20AND%20Mus%20musculus%5Borgn%5D</x:v>
      </x:c>
      <x:c r="R95" s="23" t="str">
        <x:v>https://reactome.org/content/query?q=Il18rap&amp;species=Mus%20musculus</x:v>
      </x:c>
      <x:c r="S95" s="23" t="str">
        <x:v>https://pubmed.ncbi.nlm.nih.gov/?term=(Il18rap%5BTitle%2FAbstract%5D)%20AND%20(mouse%20OR%20murine)</x:v>
      </x:c>
      <x:c r="T95" s="23" t="str">
        <x:v>No sufficiently supported metabolism or cell-death role curated</x:v>
      </x:c>
    </x:row>
    <x:row r="96">
      <x:c r="A96" s="22" t="n">
        <x:v>93</x:v>
      </x:c>
      <x:c r="B96" s="23" t="str">
        <x:v>Il1b</x:v>
      </x:c>
      <x:c r="C96" s="23" t="str">
        <x:v>IL1B</x:v>
      </x:c>
      <x:c r="D96" s="23" t="str">
        <x:v>Conserved symbol; human ortholog</x:v>
      </x:c>
      <x:c r="E96" s="23" t="str">
        <x:v>No curated metabolic role</x:v>
      </x:c>
      <x:c r="F96" s="23" t="str"/>
      <x:c r="G96" s="23" t="str"/>
      <x:c r="H96" s="23" t="str">
        <x:v>Clearance/cargo/survival relation</x:v>
      </x:c>
      <x:c r="I96" s="23" t="str">
        <x:v>Pyroptosis</x:v>
      </x:c>
      <x:c r="J96" s="23" t="str">
        <x:v>Inflammatory cargo/readout: Pro-IL-1beta is processed by caspase-1 and mature IL-1beta exits through gasdermin pores during many pyroptotic responses.</x:v>
      </x:c>
      <x:c r="K96" s="23" t="str">
        <x:v>Inflammasome cytokine; inflammation</x:v>
      </x:c>
      <x:c r="L96" s="23" t="str">
        <x:v>Pro-inflammatory cytokine synthesized as pro-IL-1beta, matured by inflammatory proteases (often caspase-1) and released through regulated unconventional secretion.</x:v>
      </x:c>
      <x:c r="M96" s="23" t="str">
        <x:v>High</x:v>
      </x:c>
      <x:c r="N96" s="23" t="str">
        <x:v>GSDMD2015; NCCD2018</x:v>
      </x:c>
      <x:c r="O96" s="23" t="str">
        <x:v>https://www.informatics.jax.org/quicksearch/summary?queryType=exactPhrase&amp;query=Il1b</x:v>
      </x:c>
      <x:c r="P96" s="23" t="str">
        <x:v>https://www.uniprot.org/uniprotkb?query=%28gene_exact%3AIl1b%29+AND+%28organism_id%3A10090%29</x:v>
      </x:c>
      <x:c r="Q96" s="23" t="str">
        <x:v>https://www.ncbi.nlm.nih.gov/gene/?term=Il1b%5Bgene%5D%20AND%20Mus%20musculus%5Borgn%5D</x:v>
      </x:c>
      <x:c r="R96" s="23" t="str">
        <x:v>https://reactome.org/content/query?q=Il1b&amp;species=Mus%20musculus</x:v>
      </x:c>
      <x:c r="S96" s="23" t="str">
        <x:v>https://pubmed.ncbi.nlm.nih.gov/?term=(Il1b%5BTitle%2FAbstract%5D)%20AND%20(mouse%20OR%20murine)</x:v>
      </x:c>
      <x:c r="T96" s="23" t="str"/>
    </x:row>
    <x:row r="97">
      <x:c r="A97" s="22" t="n">
        <x:v>94</x:v>
      </x:c>
      <x:c r="B97" s="23" t="str">
        <x:v>Itgb2</x:v>
      </x:c>
      <x:c r="C97" s="23" t="str">
        <x:v>ITGB2</x:v>
      </x:c>
      <x:c r="D97" s="23" t="str">
        <x:v>Conserved symbol; human ortholog</x:v>
      </x:c>
      <x:c r="E97" s="23" t="str">
        <x:v>No curated metabolic role</x:v>
      </x:c>
      <x:c r="F97" s="23" t="str"/>
      <x:c r="G97" s="23" t="str"/>
      <x:c r="H97" s="23" t="str">
        <x:v>No curated cell-death relation</x:v>
      </x:c>
      <x:c r="I97" s="23" t="str"/>
      <x:c r="J97" s="23" t="str"/>
      <x:c r="K97" s="23" t="str">
        <x:v>Leukocyte adhesion and migration</x:v>
      </x:c>
      <x:c r="L97" s="23" t="str">
        <x:v>Common beta-2 integrin chain (CD18) forming LFA-1, Mac-1 and related integrins required for leukocyte adhesion, trafficking and phagocytosis.</x:v>
      </x:c>
      <x:c r="M97" s="23" t="str">
        <x:v>High</x:v>
      </x:c>
      <x:c r="N97" s="23" t="str"/>
      <x:c r="O97" s="23" t="str">
        <x:v>https://www.informatics.jax.org/quicksearch/summary?queryType=exactPhrase&amp;query=Itgb2</x:v>
      </x:c>
      <x:c r="P97" s="23" t="str">
        <x:v>https://www.uniprot.org/uniprotkb?query=%28gene_exact%3AItgb2%29+AND+%28organism_id%3A10090%29</x:v>
      </x:c>
      <x:c r="Q97" s="23" t="str">
        <x:v>https://www.ncbi.nlm.nih.gov/gene/?term=Itgb2%5Bgene%5D%20AND%20Mus%20musculus%5Borgn%5D</x:v>
      </x:c>
      <x:c r="R97" s="23" t="str">
        <x:v>https://reactome.org/content/query?q=Itgb2&amp;species=Mus%20musculus</x:v>
      </x:c>
      <x:c r="S97" s="23" t="str">
        <x:v>https://pubmed.ncbi.nlm.nih.gov/?term=(Itgb2%5BTitle%2FAbstract%5D)%20AND%20(mouse%20OR%20murine)</x:v>
      </x:c>
      <x:c r="T97" s="23" t="str">
        <x:v>No sufficiently supported metabolism or cell-death role curated</x:v>
      </x:c>
    </x:row>
    <x:row r="98">
      <x:c r="A98" s="22" t="n">
        <x:v>95</x:v>
      </x:c>
      <x:c r="B98" s="23" t="str">
        <x:v>Itm2c</x:v>
      </x:c>
      <x:c r="C98" s="23" t="str">
        <x:v>ITM2C</x:v>
      </x:c>
      <x:c r="D98" s="23" t="str">
        <x:v>Conserved symbol; human ortholog</x:v>
      </x:c>
      <x:c r="E98" s="23" t="str">
        <x:v>No curated metabolic role</x:v>
      </x:c>
      <x:c r="F98" s="23" t="str"/>
      <x:c r="G98" s="23" t="str"/>
      <x:c r="H98" s="23" t="str">
        <x:v>No curated cell-death relation</x:v>
      </x:c>
      <x:c r="I98" s="23" t="str"/>
      <x:c r="J98" s="23" t="str"/>
      <x:c r="K98" s="23" t="str">
        <x:v>Membrane trafficking; neural/immune biology</x:v>
      </x:c>
      <x:c r="L98" s="23" t="str">
        <x:v>Type-II membrane protein (BRI3 family) associated with secretory/endosomal compartments; precise pathway roles remain incompletely resolved.</x:v>
      </x:c>
      <x:c r="M98" s="23" t="str">
        <x:v>Low</x:v>
      </x:c>
      <x:c r="N98" s="23" t="str"/>
      <x:c r="O98" s="23" t="str">
        <x:v>https://www.informatics.jax.org/quicksearch/summary?queryType=exactPhrase&amp;query=Itm2c</x:v>
      </x:c>
      <x:c r="P98" s="23" t="str">
        <x:v>https://www.uniprot.org/uniprotkb?query=%28gene_exact%3AItm2c%29+AND+%28organism_id%3A10090%29</x:v>
      </x:c>
      <x:c r="Q98" s="23" t="str">
        <x:v>https://www.ncbi.nlm.nih.gov/gene/?term=Itm2c%5Bgene%5D%20AND%20Mus%20musculus%5Borgn%5D</x:v>
      </x:c>
      <x:c r="R98" s="23" t="str">
        <x:v>https://reactome.org/content/query?q=Itm2c&amp;species=Mus%20musculus</x:v>
      </x:c>
      <x:c r="S98" s="23" t="str">
        <x:v>https://pubmed.ncbi.nlm.nih.gov/?term=(Itm2c%5BTitle%2FAbstract%5D)%20AND%20(mouse%20OR%20murine)</x:v>
      </x:c>
      <x:c r="T98" s="23" t="str">
        <x:v>Function is poorly characterized or mainly predicted; No sufficiently supported metabolism or cell-death role curated</x:v>
      </x:c>
    </x:row>
    <x:row r="99">
      <x:c r="A99" s="22" t="n">
        <x:v>96</x:v>
      </x:c>
      <x:c r="B99" s="23" t="str">
        <x:v>Junb</x:v>
      </x:c>
      <x:c r="C99" s="23" t="str">
        <x:v>JUNB</x:v>
      </x:c>
      <x:c r="D99" s="23" t="str">
        <x:v>Conserved symbol; human ortholog</x:v>
      </x:c>
      <x:c r="E99" s="23" t="str">
        <x:v>No curated metabolic role</x:v>
      </x:c>
      <x:c r="F99" s="23" t="str"/>
      <x:c r="G99" s="23" t="str"/>
      <x:c r="H99" s="23" t="str">
        <x:v>Contextual cell-death modifier</x:v>
      </x:c>
      <x:c r="I99" s="23" t="str">
        <x:v>Apoptosis</x:v>
      </x:c>
      <x:c r="J99" s="23" t="str">
        <x:v>Transcriptional modifier: JUNB-containing AP-1 complexes regulate pro- and anti-apoptotic genes downstream of stress and growth signals.</x:v>
      </x:c>
      <x:c r="K99" s="23" t="str">
        <x:v>AP-1 transcription; activation and differentiation</x:v>
      </x:c>
      <x:c r="L99" s="23" t="str">
        <x:v>AP-1 transcription factor that integrates MAPK/stress signals to regulate proliferation, differentiation, inflammation and survival.</x:v>
      </x:c>
      <x:c r="M99" s="23" t="str">
        <x:v>High</x:v>
      </x:c>
      <x:c r="N99" s="23" t="str">
        <x:v>NCCD2018</x:v>
      </x:c>
      <x:c r="O99" s="23" t="str">
        <x:v>https://www.informatics.jax.org/quicksearch/summary?queryType=exactPhrase&amp;query=Junb</x:v>
      </x:c>
      <x:c r="P99" s="23" t="str">
        <x:v>https://www.uniprot.org/uniprotkb?query=%28gene_exact%3AJunb%29+AND+%28organism_id%3A10090%29</x:v>
      </x:c>
      <x:c r="Q99" s="23" t="str">
        <x:v>https://www.ncbi.nlm.nih.gov/gene/?term=Junb%5Bgene%5D%20AND%20Mus%20musculus%5Borgn%5D</x:v>
      </x:c>
      <x:c r="R99" s="23" t="str">
        <x:v>https://reactome.org/content/query?q=Junb&amp;species=Mus%20musculus</x:v>
      </x:c>
      <x:c r="S99" s="23" t="str">
        <x:v>https://pubmed.ncbi.nlm.nih.gov/?term=(Junb%5BTitle%2FAbstract%5D)%20AND%20(mouse%20OR%20murine)</x:v>
      </x:c>
      <x:c r="T99" s="23" t="str"/>
    </x:row>
    <x:row r="100">
      <x:c r="A100" s="22" t="n">
        <x:v>97</x:v>
      </x:c>
      <x:c r="B100" s="23" t="str">
        <x:v>Kcnk6</x:v>
      </x:c>
      <x:c r="C100" s="23" t="str">
        <x:v>KCNK6</x:v>
      </x:c>
      <x:c r="D100" s="23" t="str">
        <x:v>Conserved symbol; human ortholog</x:v>
      </x:c>
      <x:c r="E100" s="23" t="str">
        <x:v>No curated metabolic role</x:v>
      </x:c>
      <x:c r="F100" s="23" t="str"/>
      <x:c r="G100" s="23" t="str"/>
      <x:c r="H100" s="23" t="str">
        <x:v>Contextual cell-death modifier</x:v>
      </x:c>
      <x:c r="I100" s="23" t="str">
        <x:v>Pyroptosis / NLRP3 inflammasome</x:v>
      </x:c>
      <x:c r="J100" s="23" t="str">
        <x:v>Upstream ionic trigger: TWIK2-mediated K+ efflux in macrophages supports ATP-triggered NLRP3 inflammasome activation, which can lead to gasdermin-dependent pyroptosis.</x:v>
      </x:c>
      <x:c r="K100" s="23" t="str">
        <x:v>Potassium conductance; membrane excitability</x:v>
      </x:c>
      <x:c r="L100" s="23" t="str">
        <x:v>Two-pore-domain potassium channel (TWIK-2) contributing to background K+ currents, membrane potential and context-dependent inflammasome/vascular responses.</x:v>
      </x:c>
      <x:c r="M100" s="23" t="str">
        <x:v>Moderate</x:v>
      </x:c>
      <x:c r="N100" s="23" t="str">
        <x:v>TWIK2_2018; GSDMD2015; NCCD2018</x:v>
      </x:c>
      <x:c r="O100" s="23" t="str">
        <x:v>https://www.informatics.jax.org/quicksearch/summary?queryType=exactPhrase&amp;query=Kcnk6</x:v>
      </x:c>
      <x:c r="P100" s="23" t="str">
        <x:v>https://www.uniprot.org/uniprotkb?query=%28gene_exact%3AKcnk6%29+AND+%28organism_id%3A10090%29</x:v>
      </x:c>
      <x:c r="Q100" s="23" t="str">
        <x:v>https://www.ncbi.nlm.nih.gov/gene/?term=Kcnk6%5Bgene%5D%20AND%20Mus%20musculus%5Borgn%5D</x:v>
      </x:c>
      <x:c r="R100" s="23" t="str">
        <x:v>https://reactome.org/content/query?q=Kcnk6&amp;species=Mus%20musculus</x:v>
      </x:c>
      <x:c r="S100" s="23" t="str">
        <x:v>https://pubmed.ncbi.nlm.nih.gov/?term=(Kcnk6%5BTitle%2FAbstract%5D)%20AND%20(mouse%20OR%20murine)</x:v>
      </x:c>
      <x:c r="T100" s="23" t="str"/>
    </x:row>
    <x:row r="101">
      <x:c r="A101" s="22" t="n">
        <x:v>98</x:v>
      </x:c>
      <x:c r="B101" s="23" t="str">
        <x:v>Kctd13</x:v>
      </x:c>
      <x:c r="C101" s="23" t="str">
        <x:v>KCTD13</x:v>
      </x:c>
      <x:c r="D101" s="23" t="str">
        <x:v>Conserved symbol; human ortholog</x:v>
      </x:c>
      <x:c r="E101" s="23" t="str">
        <x:v>No curated metabolic role</x:v>
      </x:c>
      <x:c r="F101" s="23" t="str"/>
      <x:c r="G101" s="23" t="str"/>
      <x:c r="H101" s="23" t="str">
        <x:v>No curated cell-death relation</x:v>
      </x:c>
      <x:c r="I101" s="23" t="str"/>
      <x:c r="J101" s="23" t="str"/>
      <x:c r="K101" s="23" t="str">
        <x:v>Cullin-3 ubiquitin-ligase adaptor; RHOA control</x:v>
      </x:c>
      <x:c r="L101" s="23" t="str">
        <x:v>BTB-domain substrate adaptor for CUL3 complexes, linked to RHOA turnover and neurodevelopmental/cell-cycle phenotypes.</x:v>
      </x:c>
      <x:c r="M101" s="23" t="str">
        <x:v>Moderate</x:v>
      </x:c>
      <x:c r="N101" s="23" t="str"/>
      <x:c r="O101" s="23" t="str">
        <x:v>https://www.informatics.jax.org/quicksearch/summary?queryType=exactPhrase&amp;query=Kctd13</x:v>
      </x:c>
      <x:c r="P101" s="23" t="str">
        <x:v>https://www.uniprot.org/uniprotkb?query=%28gene_exact%3AKctd13%29+AND+%28organism_id%3A10090%29</x:v>
      </x:c>
      <x:c r="Q101" s="23" t="str">
        <x:v>https://www.ncbi.nlm.nih.gov/gene/?term=Kctd13%5Bgene%5D%20AND%20Mus%20musculus%5Borgn%5D</x:v>
      </x:c>
      <x:c r="R101" s="23" t="str">
        <x:v>https://reactome.org/content/query?q=Kctd13&amp;species=Mus%20musculus</x:v>
      </x:c>
      <x:c r="S101" s="23" t="str">
        <x:v>https://pubmed.ncbi.nlm.nih.gov/?term=(Kctd13%5BTitle%2FAbstract%5D)%20AND%20(mouse%20OR%20murine)</x:v>
      </x:c>
      <x:c r="T101" s="23" t="str">
        <x:v>No sufficiently supported metabolism or cell-death role curated</x:v>
      </x:c>
    </x:row>
    <x:row r="102">
      <x:c r="A102" s="22" t="n">
        <x:v>99</x:v>
      </x:c>
      <x:c r="B102" s="23" t="str">
        <x:v>Klhl6</x:v>
      </x:c>
      <x:c r="C102" s="23" t="str">
        <x:v>KLHL6</x:v>
      </x:c>
      <x:c r="D102" s="23" t="str">
        <x:v>Conserved symbol; human ortholog</x:v>
      </x:c>
      <x:c r="E102" s="23" t="str">
        <x:v>No curated metabolic role</x:v>
      </x:c>
      <x:c r="F102" s="23" t="str"/>
      <x:c r="G102" s="23" t="str"/>
      <x:c r="H102" s="23" t="str">
        <x:v>No curated cell-death relation</x:v>
      </x:c>
      <x:c r="I102" s="23" t="str"/>
      <x:c r="J102" s="23" t="str"/>
      <x:c r="K102" s="23" t="str">
        <x:v>Ubiquitin-ligase adaptor; B-cell biology</x:v>
      </x:c>
      <x:c r="L102" s="23" t="str">
        <x:v>Kelch-like CUL3 adaptor important in germinal-center B cells; specific substrates and functions are still being defined.</x:v>
      </x:c>
      <x:c r="M102" s="23" t="str">
        <x:v>Moderate</x:v>
      </x:c>
      <x:c r="N102" s="23" t="str"/>
      <x:c r="O102" s="23" t="str">
        <x:v>https://www.informatics.jax.org/quicksearch/summary?queryType=exactPhrase&amp;query=Klhl6</x:v>
      </x:c>
      <x:c r="P102" s="23" t="str">
        <x:v>https://www.uniprot.org/uniprotkb?query=%28gene_exact%3AKlhl6%29+AND+%28organism_id%3A10090%29</x:v>
      </x:c>
      <x:c r="Q102" s="23" t="str">
        <x:v>https://www.ncbi.nlm.nih.gov/gene/?term=Klhl6%5Bgene%5D%20AND%20Mus%20musculus%5Borgn%5D</x:v>
      </x:c>
      <x:c r="R102" s="23" t="str">
        <x:v>https://reactome.org/content/query?q=Klhl6&amp;species=Mus%20musculus</x:v>
      </x:c>
      <x:c r="S102" s="23" t="str">
        <x:v>https://pubmed.ncbi.nlm.nih.gov/?term=(Klhl6%5BTitle%2FAbstract%5D)%20AND%20(mouse%20OR%20murine)</x:v>
      </x:c>
      <x:c r="T102" s="23" t="str">
        <x:v>No sufficiently supported metabolism or cell-death role curated</x:v>
      </x:c>
    </x:row>
    <x:row r="103">
      <x:c r="A103" s="22" t="n">
        <x:v>100</x:v>
      </x:c>
      <x:c r="B103" s="23" t="str">
        <x:v>Laptm5</x:v>
      </x:c>
      <x:c r="C103" s="23" t="str">
        <x:v>LAPTM5</x:v>
      </x:c>
      <x:c r="D103" s="23" t="str">
        <x:v>Conserved symbol; human ortholog</x:v>
      </x:c>
      <x:c r="E103" s="23" t="str">
        <x:v>Regulatory/contextual metabolic role</x:v>
      </x:c>
      <x:c r="F103" s="23" t="str">
        <x:v>Protein turnover, processing and proteostasis: Lysosomal receptor turnover</x:v>
      </x:c>
      <x:c r="G103" s="23" t="str">
        <x:v>Promotes lysosomal routing/down-regulation of selected immune receptors, affecting membrane-protein turnover.</x:v>
      </x:c>
      <x:c r="H103" s="23" t="str">
        <x:v>No curated cell-death relation</x:v>
      </x:c>
      <x:c r="I103" s="23" t="str"/>
      <x:c r="J103" s="23" t="str"/>
      <x:c r="K103" s="23" t="str">
        <x:v>Lysosomal trafficking; immune-receptor turnover</x:v>
      </x:c>
      <x:c r="L103" s="23" t="str">
        <x:v>Lysosomal multi-pass membrane protein promoting sorting/down-regulation of selected immune receptors and modulating inflammatory signaling.</x:v>
      </x:c>
      <x:c r="M103" s="23" t="str">
        <x:v>Moderate</x:v>
      </x:c>
      <x:c r="N103" s="23" t="str">
        <x:v>UNIPROT2025</x:v>
      </x:c>
      <x:c r="O103" s="23" t="str">
        <x:v>https://www.informatics.jax.org/quicksearch/summary?queryType=exactPhrase&amp;query=Laptm5</x:v>
      </x:c>
      <x:c r="P103" s="23" t="str">
        <x:v>https://www.uniprot.org/uniprotkb?query=%28gene_exact%3ALaptm5%29+AND+%28organism_id%3A10090%29</x:v>
      </x:c>
      <x:c r="Q103" s="23" t="str">
        <x:v>https://www.ncbi.nlm.nih.gov/gene/?term=Laptm5%5Bgene%5D%20AND%20Mus%20musculus%5Borgn%5D</x:v>
      </x:c>
      <x:c r="R103" s="23" t="str">
        <x:v>https://reactome.org/content/query?q=Laptm5&amp;species=Mus%20musculus</x:v>
      </x:c>
      <x:c r="S103" s="23" t="str">
        <x:v>https://pubmed.ncbi.nlm.nih.gov/?term=(Laptm5%5BTitle%2FAbstract%5D)%20AND%20(mouse%20OR%20murine)</x:v>
      </x:c>
      <x:c r="T103" s="23" t="str"/>
    </x:row>
    <x:row r="104">
      <x:c r="A104" s="22" t="n">
        <x:v>101</x:v>
      </x:c>
      <x:c r="B104" s="23" t="str">
        <x:v>Lcn2</x:v>
      </x:c>
      <x:c r="C104" s="23" t="str">
        <x:v>LCN2</x:v>
      </x:c>
      <x:c r="D104" s="23" t="str">
        <x:v>Conserved symbol; human ortholog</x:v>
      </x:c>
      <x:c r="E104" s="23" t="str">
        <x:v>Direct biochemical/transport role</x:v>
      </x:c>
      <x:c r="F104" s="23" t="str">
        <x:v>Metal, iron and heme homeostasis: Siderophore-bound iron sequestration/transport</x:v>
      </x:c>
      <x:c r="G104" s="23" t="str">
        <x:v>Binds ferric siderophore complexes, withholding iron from bacteria and, in some contexts, delivering/removing iron through receptors.</x:v>
      </x:c>
      <x:c r="H104" s="23" t="str">
        <x:v>Contextual cell-death modifier</x:v>
      </x:c>
      <x:c r="I104" s="23" t="str">
        <x:v>Ferroptosis</x:v>
      </x:c>
      <x:c r="J104" s="23" t="str">
        <x:v>Iron-homeostasis modifier: LCN2 can alter labile iron pools through siderophore/receptor complexes; neutrophil-derived LCN2 promoted iron accumulation and ferroptosis in septic cardiac models.</x:v>
      </x:c>
      <x:c r="K104" s="23" t="str">
        <x:v>Iron sequestration; antimicrobial defense</x:v>
      </x:c>
      <x:c r="L104" s="23" t="str">
        <x:v>Secreted lipocalin that binds siderophore-iron complexes, restricting microbial iron acquisition and altering cellular iron handling.</x:v>
      </x:c>
      <x:c r="M104" s="23" t="str">
        <x:v>High</x:v>
      </x:c>
      <x:c r="N104" s="23" t="str">
        <x:v>LCN2_2017; UNIPROT2025; LCN2_FERRO2022; FERRO2017</x:v>
      </x:c>
      <x:c r="O104" s="23" t="str">
        <x:v>https://www.informatics.jax.org/quicksearch/summary?queryType=exactPhrase&amp;query=Lcn2</x:v>
      </x:c>
      <x:c r="P104" s="23" t="str">
        <x:v>https://www.uniprot.org/uniprotkb?query=%28gene_exact%3ALcn2%29+AND+%28organism_id%3A10090%29</x:v>
      </x:c>
      <x:c r="Q104" s="23" t="str">
        <x:v>https://www.ncbi.nlm.nih.gov/gene/?term=Lcn2%5Bgene%5D%20AND%20Mus%20musculus%5Borgn%5D</x:v>
      </x:c>
      <x:c r="R104" s="23" t="str">
        <x:v>https://reactome.org/content/query?q=Lcn2&amp;species=Mus%20musculus</x:v>
      </x:c>
      <x:c r="S104" s="23" t="str">
        <x:v>https://pubmed.ncbi.nlm.nih.gov/?term=(Lcn2%5BTitle%2FAbstract%5D)%20AND%20(mouse%20OR%20murine)</x:v>
      </x:c>
      <x:c r="T104" s="23" t="str"/>
    </x:row>
    <x:row r="105">
      <x:c r="A105" s="22" t="n">
        <x:v>102</x:v>
      </x:c>
      <x:c r="B105" s="23" t="str">
        <x:v>Lcp2</x:v>
      </x:c>
      <x:c r="C105" s="23" t="str">
        <x:v>LCP2</x:v>
      </x:c>
      <x:c r="D105" s="23" t="str">
        <x:v>Conserved symbol; human ortholog</x:v>
      </x:c>
      <x:c r="E105" s="23" t="str">
        <x:v>No curated metabolic role</x:v>
      </x:c>
      <x:c r="F105" s="23" t="str"/>
      <x:c r="G105" s="23" t="str"/>
      <x:c r="H105" s="23" t="str">
        <x:v>No curated cell-death relation</x:v>
      </x:c>
      <x:c r="I105" s="23" t="str"/>
      <x:c r="J105" s="23" t="str"/>
      <x:c r="K105" s="23" t="str">
        <x:v>ITAM signaling adaptor</x:v>
      </x:c>
      <x:c r="L105" s="23" t="str">
        <x:v>SLP-76 adaptor essential for signaling downstream of T-cell receptor and multiple ITAM-coupled immune receptors.</x:v>
      </x:c>
      <x:c r="M105" s="23" t="str">
        <x:v>High</x:v>
      </x:c>
      <x:c r="N105" s="23" t="str"/>
      <x:c r="O105" s="23" t="str">
        <x:v>https://www.informatics.jax.org/quicksearch/summary?queryType=exactPhrase&amp;query=Lcp2</x:v>
      </x:c>
      <x:c r="P105" s="23" t="str">
        <x:v>https://www.uniprot.org/uniprotkb?query=%28gene_exact%3ALcp2%29+AND+%28organism_id%3A10090%29</x:v>
      </x:c>
      <x:c r="Q105" s="23" t="str">
        <x:v>https://www.ncbi.nlm.nih.gov/gene/?term=Lcp2%5Bgene%5D%20AND%20Mus%20musculus%5Borgn%5D</x:v>
      </x:c>
      <x:c r="R105" s="23" t="str">
        <x:v>https://reactome.org/content/query?q=Lcp2&amp;species=Mus%20musculus</x:v>
      </x:c>
      <x:c r="S105" s="23" t="str">
        <x:v>https://pubmed.ncbi.nlm.nih.gov/?term=(Lcp2%5BTitle%2FAbstract%5D)%20AND%20(mouse%20OR%20murine)</x:v>
      </x:c>
      <x:c r="T105" s="23" t="str">
        <x:v>No sufficiently supported metabolism or cell-death role curated</x:v>
      </x:c>
    </x:row>
    <x:row r="106">
      <x:c r="A106" s="22" t="n">
        <x:v>103</x:v>
      </x:c>
      <x:c r="B106" s="23" t="str">
        <x:v>Lgals9</x:v>
      </x:c>
      <x:c r="C106" s="23" t="str">
        <x:v>LGALS9</x:v>
      </x:c>
      <x:c r="D106" s="23" t="str">
        <x:v>Conserved symbol; human ortholog</x:v>
      </x:c>
      <x:c r="E106" s="23" t="str">
        <x:v>No curated metabolic role</x:v>
      </x:c>
      <x:c r="F106" s="23" t="str"/>
      <x:c r="G106" s="23" t="str"/>
      <x:c r="H106" s="23" t="str">
        <x:v>Contextual cell-death modifier</x:v>
      </x:c>
      <x:c r="I106" s="23" t="str">
        <x:v>Apoptosis / activation-induced immune-cell death</x:v>
      </x:c>
      <x:c r="J106" s="23" t="str">
        <x:v>Extracellular ligand: Galectin-9 ligation of TIM-3 can induce calcium flux and death of activated Th1 cells; other receptors and intracellular LGALS9 actions also occur.</x:v>
      </x:c>
      <x:c r="K106" s="23" t="str">
        <x:v>Glycan recognition; immune checkpoint signaling</x:v>
      </x:c>
      <x:c r="L106" s="23" t="str">
        <x:v>Tandem-repeat beta-galactoside lectin regulating cell adhesion and immune responses through TIM-3 and additional glycoprotein ligands.</x:v>
      </x:c>
      <x:c r="M106" s="23" t="str">
        <x:v>High</x:v>
      </x:c>
      <x:c r="N106" s="23" t="str">
        <x:v>LGALS9_2005; NCCD2018</x:v>
      </x:c>
      <x:c r="O106" s="23" t="str">
        <x:v>https://www.informatics.jax.org/quicksearch/summary?queryType=exactPhrase&amp;query=Lgals9</x:v>
      </x:c>
      <x:c r="P106" s="23" t="str">
        <x:v>https://www.uniprot.org/uniprotkb?query=%28gene_exact%3ALgals9%29+AND+%28organism_id%3A10090%29</x:v>
      </x:c>
      <x:c r="Q106" s="23" t="str">
        <x:v>https://www.ncbi.nlm.nih.gov/gene/?term=Lgals9%5Bgene%5D%20AND%20Mus%20musculus%5Borgn%5D</x:v>
      </x:c>
      <x:c r="R106" s="23" t="str">
        <x:v>https://reactome.org/content/query?q=Lgals9&amp;species=Mus%20musculus</x:v>
      </x:c>
      <x:c r="S106" s="23" t="str">
        <x:v>https://pubmed.ncbi.nlm.nih.gov/?term=(Lgals9%5BTitle%2FAbstract%5D)%20AND%20(mouse%20OR%20murine)</x:v>
      </x:c>
      <x:c r="T106" s="23" t="str"/>
    </x:row>
    <x:row r="107">
      <x:c r="A107" s="22" t="n">
        <x:v>104</x:v>
      </x:c>
      <x:c r="B107" s="23" t="str">
        <x:v>Lgmn</x:v>
      </x:c>
      <x:c r="C107" s="23" t="str">
        <x:v>LGMN</x:v>
      </x:c>
      <x:c r="D107" s="23" t="str">
        <x:v>Conserved symbol; human ortholog</x:v>
      </x:c>
      <x:c r="E107" s="23" t="str">
        <x:v>Direct biochemical/transport role</x:v>
      </x:c>
      <x:c r="F107" s="23" t="str">
        <x:v>Protein turnover, processing and proteostasis: Lysosomal asparaginyl endopeptidase activity</x:v>
      </x:c>
      <x:c r="G107" s="23" t="str">
        <x:v>Cleaves protein substrates C-terminal to asparagine in acidic endolysosomes.</x:v>
      </x:c>
      <x:c r="H107" s="23" t="str">
        <x:v>Contextual cell-death modifier</x:v>
      </x:c>
      <x:c r="I107" s="23" t="str">
        <x:v>Lysosome-dependent cell death / apoptosis</x:v>
      </x:c>
      <x:c r="J107" s="23" t="str">
        <x:v>Contextual protease modifier: Lysosomal leakage or altered legumain activity can contribute to proteolytic death signaling in selected cancer/injury models.</x:v>
      </x:c>
      <x:c r="K107" s="23" t="str">
        <x:v>Lysosomal proteolysis; antigen processing</x:v>
      </x:c>
      <x:c r="L107" s="23" t="str">
        <x:v>Asparaginyl endopeptidase that cleaves proteins after asparagine in acidic endolysosomes and contributes to antigen/lysosomal protein processing.</x:v>
      </x:c>
      <x:c r="M107" s="23" t="str">
        <x:v>High</x:v>
      </x:c>
      <x:c r="N107" s="23" t="str">
        <x:v>UNIPROT2025; REACTOME2024; NCCD2018</x:v>
      </x:c>
      <x:c r="O107" s="23" t="str">
        <x:v>https://www.informatics.jax.org/quicksearch/summary?queryType=exactPhrase&amp;query=Lgmn</x:v>
      </x:c>
      <x:c r="P107" s="23" t="str">
        <x:v>https://www.uniprot.org/uniprotkb?query=%28gene_exact%3ALgmn%29+AND+%28organism_id%3A10090%29</x:v>
      </x:c>
      <x:c r="Q107" s="23" t="str">
        <x:v>https://www.ncbi.nlm.nih.gov/gene/?term=Lgmn%5Bgene%5D%20AND%20Mus%20musculus%5Borgn%5D</x:v>
      </x:c>
      <x:c r="R107" s="23" t="str">
        <x:v>https://reactome.org/content/query?q=Lgmn&amp;species=Mus%20musculus</x:v>
      </x:c>
      <x:c r="S107" s="23" t="str">
        <x:v>https://pubmed.ncbi.nlm.nih.gov/?term=(Lgmn%5BTitle%2FAbstract%5D)%20AND%20(mouse%20OR%20murine)</x:v>
      </x:c>
      <x:c r="T107" s="23" t="str"/>
    </x:row>
    <x:row r="108">
      <x:c r="A108" s="22" t="n">
        <x:v>105</x:v>
      </x:c>
      <x:c r="B108" s="23" t="str">
        <x:v>Lrg1</x:v>
      </x:c>
      <x:c r="C108" s="23" t="str">
        <x:v>LRG1</x:v>
      </x:c>
      <x:c r="D108" s="23" t="str">
        <x:v>Conserved symbol; human ortholog</x:v>
      </x:c>
      <x:c r="E108" s="23" t="str">
        <x:v>No curated metabolic role</x:v>
      </x:c>
      <x:c r="F108" s="23" t="str"/>
      <x:c r="G108" s="23" t="str"/>
      <x:c r="H108" s="23" t="str">
        <x:v>No curated cell-death relation</x:v>
      </x:c>
      <x:c r="I108" s="23" t="str"/>
      <x:c r="J108" s="23" t="str"/>
      <x:c r="K108" s="23" t="str">
        <x:v>TGF-beta pathway modulation; angiogenesis</x:v>
      </x:c>
      <x:c r="L108" s="23" t="str">
        <x:v>Secreted leucine-rich glycoprotein that modifies TGF-beta receptor usage/signaling and promotes context-dependent angiogenesis and inflammation.</x:v>
      </x:c>
      <x:c r="M108" s="23" t="str">
        <x:v>Moderate</x:v>
      </x:c>
      <x:c r="N108" s="23" t="str"/>
      <x:c r="O108" s="23" t="str">
        <x:v>https://www.informatics.jax.org/quicksearch/summary?queryType=exactPhrase&amp;query=Lrg1</x:v>
      </x:c>
      <x:c r="P108" s="23" t="str">
        <x:v>https://www.uniprot.org/uniprotkb?query=%28gene_exact%3ALrg1%29+AND+%28organism_id%3A10090%29</x:v>
      </x:c>
      <x:c r="Q108" s="23" t="str">
        <x:v>https://www.ncbi.nlm.nih.gov/gene/?term=Lrg1%5Bgene%5D%20AND%20Mus%20musculus%5Borgn%5D</x:v>
      </x:c>
      <x:c r="R108" s="23" t="str">
        <x:v>https://reactome.org/content/query?q=Lrg1&amp;species=Mus%20musculus</x:v>
      </x:c>
      <x:c r="S108" s="23" t="str">
        <x:v>https://pubmed.ncbi.nlm.nih.gov/?term=(Lrg1%5BTitle%2FAbstract%5D)%20AND%20(mouse%20OR%20murine)</x:v>
      </x:c>
      <x:c r="T108" s="23" t="str">
        <x:v>No sufficiently supported metabolism or cell-death role curated</x:v>
      </x:c>
    </x:row>
    <x:row r="109">
      <x:c r="A109" s="22" t="n">
        <x:v>106</x:v>
      </x:c>
      <x:c r="B109" s="23" t="str">
        <x:v>Lrp5</x:v>
      </x:c>
      <x:c r="C109" s="23" t="str">
        <x:v>LRP5</x:v>
      </x:c>
      <x:c r="D109" s="23" t="str">
        <x:v>Conserved symbol; human ortholog</x:v>
      </x:c>
      <x:c r="E109" s="23" t="str">
        <x:v>Regulatory/contextual metabolic role</x:v>
      </x:c>
      <x:c r="F109" s="23" t="str">
        <x:v>Metabolic regulation and nutrient sensing: Cholesterol homeostasis; Metabolic regulation and nutrient sensing: Glucose/insulin homeostasis</x:v>
      </x:c>
      <x:c r="G109" s="23" t="str">
        <x:v>LRP5-dependent Wnt signaling contributes to normal plasma-cholesterol handling and tissue lipid use.; Genetic studies link LRP5 signaling to glucose-induced insulin secretion and systemic glucose tolerance.</x:v>
      </x:c>
      <x:c r="H109" s="23" t="str">
        <x:v>No curated cell-death relation</x:v>
      </x:c>
      <x:c r="I109" s="23" t="str"/>
      <x:c r="J109" s="23" t="str"/>
      <x:c r="K109" s="23" t="str">
        <x:v>Canonical Wnt signaling; bone and metabolic homeostasis</x:v>
      </x:c>
      <x:c r="L109" s="23" t="str">
        <x:v>Wnt co-receptor controlling beta-catenin signaling, bone mass, retinal vascular development and regulatory effects on glucose/cholesterol metabolism.</x:v>
      </x:c>
      <x:c r="M109" s="23" t="str">
        <x:v>High</x:v>
      </x:c>
      <x:c r="N109" s="23" t="str">
        <x:v>LRP5_2003</x:v>
      </x:c>
      <x:c r="O109" s="23" t="str">
        <x:v>https://www.informatics.jax.org/quicksearch/summary?queryType=exactPhrase&amp;query=Lrp5</x:v>
      </x:c>
      <x:c r="P109" s="23" t="str">
        <x:v>https://www.uniprot.org/uniprotkb?query=%28gene_exact%3ALrp5%29+AND+%28organism_id%3A10090%29</x:v>
      </x:c>
      <x:c r="Q109" s="23" t="str">
        <x:v>https://www.ncbi.nlm.nih.gov/gene/?term=Lrp5%5Bgene%5D%20AND%20Mus%20musculus%5Borgn%5D</x:v>
      </x:c>
      <x:c r="R109" s="23" t="str">
        <x:v>https://reactome.org/content/query?q=Lrp5&amp;species=Mus%20musculus</x:v>
      </x:c>
      <x:c r="S109" s="23" t="str">
        <x:v>https://pubmed.ncbi.nlm.nih.gov/?term=(Lrp5%5BTitle%2FAbstract%5D)%20AND%20(mouse%20OR%20murine)</x:v>
      </x:c>
      <x:c r="T109" s="23" t="str"/>
    </x:row>
    <x:row r="110">
      <x:c r="A110" s="22" t="n">
        <x:v>107</x:v>
      </x:c>
      <x:c r="B110" s="23" t="str">
        <x:v>Lrrc25</x:v>
      </x:c>
      <x:c r="C110" s="23" t="str">
        <x:v>LRRC25</x:v>
      </x:c>
      <x:c r="D110" s="23" t="str">
        <x:v>Conserved symbol; human ortholog</x:v>
      </x:c>
      <x:c r="E110" s="23" t="str">
        <x:v>No curated metabolic role</x:v>
      </x:c>
      <x:c r="F110" s="23" t="str"/>
      <x:c r="G110" s="23" t="str"/>
      <x:c r="H110" s="23" t="str">
        <x:v>No curated cell-death relation</x:v>
      </x:c>
      <x:c r="I110" s="23" t="str"/>
      <x:c r="J110" s="23" t="str"/>
      <x:c r="K110" s="23" t="str">
        <x:v>Innate immune signal termination</x:v>
      </x:c>
      <x:c r="L110" s="23" t="str">
        <x:v>Leucine-rich-repeat protein reported to promote degradation/turnover of innate signaling components and limit RIG-I/NF-kappaB responses.</x:v>
      </x:c>
      <x:c r="M110" s="23" t="str">
        <x:v>Moderate</x:v>
      </x:c>
      <x:c r="N110" s="23" t="str"/>
      <x:c r="O110" s="23" t="str">
        <x:v>https://www.informatics.jax.org/quicksearch/summary?queryType=exactPhrase&amp;query=Lrrc25</x:v>
      </x:c>
      <x:c r="P110" s="23" t="str">
        <x:v>https://www.uniprot.org/uniprotkb?query=%28gene_exact%3ALrrc25%29+AND+%28organism_id%3A10090%29</x:v>
      </x:c>
      <x:c r="Q110" s="23" t="str">
        <x:v>https://www.ncbi.nlm.nih.gov/gene/?term=Lrrc25%5Bgene%5D%20AND%20Mus%20musculus%5Borgn%5D</x:v>
      </x:c>
      <x:c r="R110" s="23" t="str">
        <x:v>https://reactome.org/content/query?q=Lrrc25&amp;species=Mus%20musculus</x:v>
      </x:c>
      <x:c r="S110" s="23" t="str">
        <x:v>https://pubmed.ncbi.nlm.nih.gov/?term=(Lrrc25%5BTitle%2FAbstract%5D)%20AND%20(mouse%20OR%20murine)</x:v>
      </x:c>
      <x:c r="T110" s="23" t="str">
        <x:v>No sufficiently supported metabolism or cell-death role curated</x:v>
      </x:c>
    </x:row>
    <x:row r="111">
      <x:c r="A111" s="22" t="n">
        <x:v>108</x:v>
      </x:c>
      <x:c r="B111" s="23" t="str">
        <x:v>Lrrk1</x:v>
      </x:c>
      <x:c r="C111" s="23" t="str">
        <x:v>LRRK1</x:v>
      </x:c>
      <x:c r="D111" s="23" t="str">
        <x:v>Conserved symbol; human ortholog</x:v>
      </x:c>
      <x:c r="E111" s="23" t="str">
        <x:v>No curated metabolic role</x:v>
      </x:c>
      <x:c r="F111" s="23" t="str"/>
      <x:c r="G111" s="23" t="str"/>
      <x:c r="H111" s="23" t="str">
        <x:v>No curated cell-death relation</x:v>
      </x:c>
      <x:c r="I111" s="23" t="str"/>
      <x:c r="J111" s="23" t="str"/>
      <x:c r="K111" s="23" t="str">
        <x:v>Kinase signaling; endosome and osteoclast biology</x:v>
      </x:c>
      <x:c r="L111" s="23" t="str">
        <x:v>Serine/threonine kinase controlling endosomal trafficking, cytoskeleton and osteoclast function.</x:v>
      </x:c>
      <x:c r="M111" s="23" t="str">
        <x:v>Moderate</x:v>
      </x:c>
      <x:c r="N111" s="23" t="str"/>
      <x:c r="O111" s="23" t="str">
        <x:v>https://www.informatics.jax.org/quicksearch/summary?queryType=exactPhrase&amp;query=Lrrk1</x:v>
      </x:c>
      <x:c r="P111" s="23" t="str">
        <x:v>https://www.uniprot.org/uniprotkb?query=%28gene_exact%3ALrrk1%29+AND+%28organism_id%3A10090%29</x:v>
      </x:c>
      <x:c r="Q111" s="23" t="str">
        <x:v>https://www.ncbi.nlm.nih.gov/gene/?term=Lrrk1%5Bgene%5D%20AND%20Mus%20musculus%5Borgn%5D</x:v>
      </x:c>
      <x:c r="R111" s="23" t="str">
        <x:v>https://reactome.org/content/query?q=Lrrk1&amp;species=Mus%20musculus</x:v>
      </x:c>
      <x:c r="S111" s="23" t="str">
        <x:v>https://pubmed.ncbi.nlm.nih.gov/?term=(Lrrk1%5BTitle%2FAbstract%5D)%20AND%20(mouse%20OR%20murine)</x:v>
      </x:c>
      <x:c r="T111" s="23" t="str">
        <x:v>No sufficiently supported metabolism or cell-death role curated</x:v>
      </x:c>
    </x:row>
    <x:row r="112">
      <x:c r="A112" s="22" t="n">
        <x:v>109</x:v>
      </x:c>
      <x:c r="B112" s="23" t="str">
        <x:v>Lsp1</x:v>
      </x:c>
      <x:c r="C112" s="23" t="str">
        <x:v>LSP1</x:v>
      </x:c>
      <x:c r="D112" s="23" t="str">
        <x:v>Conserved symbol; human ortholog</x:v>
      </x:c>
      <x:c r="E112" s="23" t="str">
        <x:v>No curated metabolic role</x:v>
      </x:c>
      <x:c r="F112" s="23" t="str"/>
      <x:c r="G112" s="23" t="str"/>
      <x:c r="H112" s="23" t="str">
        <x:v>No curated cell-death relation</x:v>
      </x:c>
      <x:c r="I112" s="23" t="str"/>
      <x:c r="J112" s="23" t="str"/>
      <x:c r="K112" s="23" t="str">
        <x:v>Actin cytoskeleton; leukocyte migration</x:v>
      </x:c>
      <x:c r="L112" s="23" t="str">
        <x:v>F-actin-binding phosphoprotein regulating leukocyte motility, adhesion and endothelial transmigration.</x:v>
      </x:c>
      <x:c r="M112" s="23" t="str">
        <x:v>High</x:v>
      </x:c>
      <x:c r="N112" s="23" t="str"/>
      <x:c r="O112" s="23" t="str">
        <x:v>https://www.informatics.jax.org/quicksearch/summary?queryType=exactPhrase&amp;query=Lsp1</x:v>
      </x:c>
      <x:c r="P112" s="23" t="str">
        <x:v>https://www.uniprot.org/uniprotkb?query=%28gene_exact%3ALsp1%29+AND+%28organism_id%3A10090%29</x:v>
      </x:c>
      <x:c r="Q112" s="23" t="str">
        <x:v>https://www.ncbi.nlm.nih.gov/gene/?term=Lsp1%5Bgene%5D%20AND%20Mus%20musculus%5Borgn%5D</x:v>
      </x:c>
      <x:c r="R112" s="23" t="str">
        <x:v>https://reactome.org/content/query?q=Lsp1&amp;species=Mus%20musculus</x:v>
      </x:c>
      <x:c r="S112" s="23" t="str">
        <x:v>https://pubmed.ncbi.nlm.nih.gov/?term=(Lsp1%5BTitle%2FAbstract%5D)%20AND%20(mouse%20OR%20murine)</x:v>
      </x:c>
      <x:c r="T112" s="23" t="str">
        <x:v>No sufficiently supported metabolism or cell-death role curated</x:v>
      </x:c>
    </x:row>
    <x:row r="113">
      <x:c r="A113" s="22" t="n">
        <x:v>110</x:v>
      </x:c>
      <x:c r="B113" s="23" t="str">
        <x:v>Ltf</x:v>
      </x:c>
      <x:c r="C113" s="23" t="str">
        <x:v>LTF</x:v>
      </x:c>
      <x:c r="D113" s="23" t="str">
        <x:v>Conserved symbol; human ortholog</x:v>
      </x:c>
      <x:c r="E113" s="23" t="str">
        <x:v>Direct biochemical/transport role</x:v>
      </x:c>
      <x:c r="F113" s="23" t="str">
        <x:v>Metal, iron and heme homeostasis: Iron sequestration</x:v>
      </x:c>
      <x:c r="G113" s="23" t="str">
        <x:v>Binds Fe3+ with high affinity, limits microbial iron availability and participates in mucosal/granule iron handling.</x:v>
      </x:c>
      <x:c r="H113" s="23" t="str">
        <x:v>No curated cell-death relation</x:v>
      </x:c>
      <x:c r="I113" s="23" t="str"/>
      <x:c r="J113" s="23" t="str"/>
      <x:c r="K113" s="23" t="str">
        <x:v>Iron sequestration; antimicrobial defense</x:v>
      </x:c>
      <x:c r="L113" s="23" t="str">
        <x:v>Lactoferrin binds Fe3+ with high affinity, limits microbial iron availability and has direct/indirect antimicrobial and immunomodulatory actions.</x:v>
      </x:c>
      <x:c r="M113" s="23" t="str">
        <x:v>High</x:v>
      </x:c>
      <x:c r="N113" s="23" t="str">
        <x:v>UNIPROT2025</x:v>
      </x:c>
      <x:c r="O113" s="23" t="str">
        <x:v>https://www.informatics.jax.org/quicksearch/summary?queryType=exactPhrase&amp;query=Ltf</x:v>
      </x:c>
      <x:c r="P113" s="23" t="str">
        <x:v>https://www.uniprot.org/uniprotkb?query=%28gene_exact%3ALtf%29+AND+%28organism_id%3A10090%29</x:v>
      </x:c>
      <x:c r="Q113" s="23" t="str">
        <x:v>https://www.ncbi.nlm.nih.gov/gene/?term=Ltf%5Bgene%5D%20AND%20Mus%20musculus%5Borgn%5D</x:v>
      </x:c>
      <x:c r="R113" s="23" t="str">
        <x:v>https://reactome.org/content/query?q=Ltf&amp;species=Mus%20musculus</x:v>
      </x:c>
      <x:c r="S113" s="23" t="str">
        <x:v>https://pubmed.ncbi.nlm.nih.gov/?term=(Ltf%5BTitle%2FAbstract%5D)%20AND%20(mouse%20OR%20murine)</x:v>
      </x:c>
      <x:c r="T113" s="23" t="str"/>
    </x:row>
    <x:row r="114">
      <x:c r="A114" s="22" t="n">
        <x:v>111</x:v>
      </x:c>
      <x:c r="B114" s="23" t="str">
        <x:v>Ly6c2</x:v>
      </x:c>
      <x:c r="C114" s="23" t="str"/>
      <x:c r="D114" s="23" t="str">
        <x:v>Mouse-specific LY6C family expansion</x:v>
      </x:c>
      <x:c r="E114" s="23" t="str">
        <x:v>No curated metabolic role</x:v>
      </x:c>
      <x:c r="F114" s="23" t="str"/>
      <x:c r="G114" s="23" t="str"/>
      <x:c r="H114" s="23" t="str">
        <x:v>No curated cell-death relation</x:v>
      </x:c>
      <x:c r="I114" s="23" t="str"/>
      <x:c r="J114" s="23" t="str"/>
      <x:c r="K114" s="23" t="str">
        <x:v>Mouse monocyte surface identity</x:v>
      </x:c>
      <x:c r="L114" s="23" t="str">
        <x:v>GPI-anchored Ly6C2 protein used to distinguish inflammatory monocyte subsets; mechanistic function is less defined and there is no direct human ortholog.</x:v>
      </x:c>
      <x:c r="M114" s="23" t="str">
        <x:v>Moderate</x:v>
      </x:c>
      <x:c r="N114" s="23" t="str"/>
      <x:c r="O114" s="23" t="str">
        <x:v>https://www.informatics.jax.org/quicksearch/summary?queryType=exactPhrase&amp;query=Ly6c2</x:v>
      </x:c>
      <x:c r="P114" s="23" t="str">
        <x:v>https://www.uniprot.org/uniprotkb?query=%28gene_exact%3ALy6c2%29+AND+%28organism_id%3A10090%29</x:v>
      </x:c>
      <x:c r="Q114" s="23" t="str">
        <x:v>https://www.ncbi.nlm.nih.gov/gene/?term=Ly6c2%5Bgene%5D%20AND%20Mus%20musculus%5Borgn%5D</x:v>
      </x:c>
      <x:c r="R114" s="23" t="str">
        <x:v>https://reactome.org/content/query?q=Ly6c2&amp;species=Mus%20musculus</x:v>
      </x:c>
      <x:c r="S114" s="23" t="str">
        <x:v>https://pubmed.ncbi.nlm.nih.gov/?term=(Ly6c2%5BTitle%2FAbstract%5D)%20AND%20(mouse%20OR%20murine)</x:v>
      </x:c>
      <x:c r="T114" s="23" t="str">
        <x:v>No sufficiently supported metabolism or cell-death role curated</x:v>
      </x:c>
    </x:row>
    <x:row r="115">
      <x:c r="A115" s="22" t="n">
        <x:v>112</x:v>
      </x:c>
      <x:c r="B115" s="23" t="str">
        <x:v>Ly6e</x:v>
      </x:c>
      <x:c r="C115" s="23" t="str">
        <x:v>LY6E</x:v>
      </x:c>
      <x:c r="D115" s="23" t="str">
        <x:v>Conserved symbol; human ortholog</x:v>
      </x:c>
      <x:c r="E115" s="23" t="str">
        <x:v>No curated metabolic role</x:v>
      </x:c>
      <x:c r="F115" s="23" t="str"/>
      <x:c r="G115" s="23" t="str"/>
      <x:c r="H115" s="23" t="str">
        <x:v>No curated cell-death relation</x:v>
      </x:c>
      <x:c r="I115" s="23" t="str"/>
      <x:c r="J115" s="23" t="str"/>
      <x:c r="K115" s="23" t="str">
        <x:v>Interferon-regulated membrane protein</x:v>
      </x:c>
      <x:c r="L115" s="23" t="str">
        <x:v>GPI-anchored LY6-family protein that modulates immune signaling and can enhance or restrict viral infection depending on virus/context.</x:v>
      </x:c>
      <x:c r="M115" s="23" t="str">
        <x:v>Moderate</x:v>
      </x:c>
      <x:c r="N115" s="23" t="str"/>
      <x:c r="O115" s="23" t="str">
        <x:v>https://www.informatics.jax.org/quicksearch/summary?queryType=exactPhrase&amp;query=Ly6e</x:v>
      </x:c>
      <x:c r="P115" s="23" t="str">
        <x:v>https://www.uniprot.org/uniprotkb?query=%28gene_exact%3ALy6e%29+AND+%28organism_id%3A10090%29</x:v>
      </x:c>
      <x:c r="Q115" s="23" t="str">
        <x:v>https://www.ncbi.nlm.nih.gov/gene/?term=Ly6e%5Bgene%5D%20AND%20Mus%20musculus%5Borgn%5D</x:v>
      </x:c>
      <x:c r="R115" s="23" t="str">
        <x:v>https://reactome.org/content/query?q=Ly6e&amp;species=Mus%20musculus</x:v>
      </x:c>
      <x:c r="S115" s="23" t="str">
        <x:v>https://pubmed.ncbi.nlm.nih.gov/?term=(Ly6e%5BTitle%2FAbstract%5D)%20AND%20(mouse%20OR%20murine)</x:v>
      </x:c>
      <x:c r="T115" s="23" t="str">
        <x:v>No sufficiently supported metabolism or cell-death role curated</x:v>
      </x:c>
    </x:row>
    <x:row r="116">
      <x:c r="A116" s="22" t="n">
        <x:v>113</x:v>
      </x:c>
      <x:c r="B116" s="23" t="str">
        <x:v>Ly6h</x:v>
      </x:c>
      <x:c r="C116" s="23" t="str">
        <x:v>LY6H</x:v>
      </x:c>
      <x:c r="D116" s="23" t="str">
        <x:v>Conserved symbol; human ortholog</x:v>
      </x:c>
      <x:c r="E116" s="23" t="str">
        <x:v>No curated metabolic role</x:v>
      </x:c>
      <x:c r="F116" s="23" t="str"/>
      <x:c r="G116" s="23" t="str"/>
      <x:c r="H116" s="23" t="str">
        <x:v>No curated cell-death relation</x:v>
      </x:c>
      <x:c r="I116" s="23" t="str"/>
      <x:c r="J116" s="23" t="str"/>
      <x:c r="K116" s="23" t="str">
        <x:v>LY6-family neural/immune membrane protein</x:v>
      </x:c>
      <x:c r="L116" s="23" t="str">
        <x:v>GPI-anchored protein enriched in neural tissues and some immune states; modulates nicotinic receptor biology and cell-surface signaling.</x:v>
      </x:c>
      <x:c r="M116" s="23" t="str">
        <x:v>Moderate</x:v>
      </x:c>
      <x:c r="N116" s="23" t="str"/>
      <x:c r="O116" s="23" t="str">
        <x:v>https://www.informatics.jax.org/quicksearch/summary?queryType=exactPhrase&amp;query=Ly6h</x:v>
      </x:c>
      <x:c r="P116" s="23" t="str">
        <x:v>https://www.uniprot.org/uniprotkb?query=%28gene_exact%3ALy6h%29+AND+%28organism_id%3A10090%29</x:v>
      </x:c>
      <x:c r="Q116" s="23" t="str">
        <x:v>https://www.ncbi.nlm.nih.gov/gene/?term=Ly6h%5Bgene%5D%20AND%20Mus%20musculus%5Borgn%5D</x:v>
      </x:c>
      <x:c r="R116" s="23" t="str">
        <x:v>https://reactome.org/content/query?q=Ly6h&amp;species=Mus%20musculus</x:v>
      </x:c>
      <x:c r="S116" s="23" t="str">
        <x:v>https://pubmed.ncbi.nlm.nih.gov/?term=(Ly6h%5BTitle%2FAbstract%5D)%20AND%20(mouse%20OR%20murine)</x:v>
      </x:c>
      <x:c r="T116" s="23" t="str">
        <x:v>No sufficiently supported metabolism or cell-death role curated</x:v>
      </x:c>
    </x:row>
    <x:row r="117">
      <x:c r="A117" s="22" t="n">
        <x:v>114</x:v>
      </x:c>
      <x:c r="B117" s="23" t="str">
        <x:v>Lyl1</x:v>
      </x:c>
      <x:c r="C117" s="23" t="str">
        <x:v>LYL1</x:v>
      </x:c>
      <x:c r="D117" s="23" t="str">
        <x:v>Conserved symbol; human ortholog</x:v>
      </x:c>
      <x:c r="E117" s="23" t="str">
        <x:v>No curated metabolic role</x:v>
      </x:c>
      <x:c r="F117" s="23" t="str"/>
      <x:c r="G117" s="23" t="str"/>
      <x:c r="H117" s="23" t="str">
        <x:v>No curated cell-death relation</x:v>
      </x:c>
      <x:c r="I117" s="23" t="str"/>
      <x:c r="J117" s="23" t="str"/>
      <x:c r="K117" s="23" t="str">
        <x:v>Hematopoietic transcription</x:v>
      </x:c>
      <x:c r="L117" s="23" t="str">
        <x:v>Basic helix-loop-helix transcription factor supporting hematopoietic stem/progenitor and myeloid programs.</x:v>
      </x:c>
      <x:c r="M117" s="23" t="str">
        <x:v>Moderate</x:v>
      </x:c>
      <x:c r="N117" s="23" t="str"/>
      <x:c r="O117" s="23" t="str">
        <x:v>https://www.informatics.jax.org/quicksearch/summary?queryType=exactPhrase&amp;query=Lyl1</x:v>
      </x:c>
      <x:c r="P117" s="23" t="str">
        <x:v>https://www.uniprot.org/uniprotkb?query=%28gene_exact%3ALyl1%29+AND+%28organism_id%3A10090%29</x:v>
      </x:c>
      <x:c r="Q117" s="23" t="str">
        <x:v>https://www.ncbi.nlm.nih.gov/gene/?term=Lyl1%5Bgene%5D%20AND%20Mus%20musculus%5Borgn%5D</x:v>
      </x:c>
      <x:c r="R117" s="23" t="str">
        <x:v>https://reactome.org/content/query?q=Lyl1&amp;species=Mus%20musculus</x:v>
      </x:c>
      <x:c r="S117" s="23" t="str">
        <x:v>https://pubmed.ncbi.nlm.nih.gov/?term=(Lyl1%5BTitle%2FAbstract%5D)%20AND%20(mouse%20OR%20murine)</x:v>
      </x:c>
      <x:c r="T117" s="23" t="str">
        <x:v>No sufficiently supported metabolism or cell-death role curated</x:v>
      </x:c>
    </x:row>
    <x:row r="118">
      <x:c r="A118" s="22" t="n">
        <x:v>115</x:v>
      </x:c>
      <x:c r="B118" s="23" t="str">
        <x:v>Lyz2</x:v>
      </x:c>
      <x:c r="C118" s="23" t="str">
        <x:v>LYZ</x:v>
      </x:c>
      <x:c r="D118" s="23" t="str">
        <x:v>Conserved lysozyme-family ortholog</x:v>
      </x:c>
      <x:c r="E118" s="23" t="str">
        <x:v>Direct biochemical/transport role</x:v>
      </x:c>
      <x:c r="F118" s="23" t="str">
        <x:v>Glycan and glycoprotein metabolism: Bacterial peptidoglycan hydrolysis</x:v>
      </x:c>
      <x:c r="G118" s="23" t="str">
        <x:v>Hydrolyzes beta-1,4 bonds between N-acetylmuramic acid and N-acetylglucosamine in bacterial peptidoglycan.</x:v>
      </x:c>
      <x:c r="H118" s="23" t="str">
        <x:v>No curated cell-death relation</x:v>
      </x:c>
      <x:c r="I118" s="23" t="str"/>
      <x:c r="J118" s="23" t="str"/>
      <x:c r="K118" s="23" t="str">
        <x:v>Peptidoglycan degradation; myeloid defense</x:v>
      </x:c>
      <x:c r="L118" s="23" t="str">
        <x:v>Secreted/lysosomal lysozyme hydrolyzing beta-1,4 glycosidic bonds in bacterial peptidoglycan; widely used as a myeloid-lineage marker.</x:v>
      </x:c>
      <x:c r="M118" s="23" t="str">
        <x:v>High</x:v>
      </x:c>
      <x:c r="N118" s="23" t="str">
        <x:v>UNIPROT2025</x:v>
      </x:c>
      <x:c r="O118" s="23" t="str">
        <x:v>https://www.informatics.jax.org/quicksearch/summary?queryType=exactPhrase&amp;query=Lyz2</x:v>
      </x:c>
      <x:c r="P118" s="23" t="str">
        <x:v>https://www.uniprot.org/uniprotkb?query=%28gene_exact%3ALyz2%29+AND+%28organism_id%3A10090%29</x:v>
      </x:c>
      <x:c r="Q118" s="23" t="str">
        <x:v>https://www.ncbi.nlm.nih.gov/gene/?term=Lyz2%5Bgene%5D%20AND%20Mus%20musculus%5Borgn%5D</x:v>
      </x:c>
      <x:c r="R118" s="23" t="str">
        <x:v>https://reactome.org/content/query?q=Lyz2&amp;species=Mus%20musculus</x:v>
      </x:c>
      <x:c r="S118" s="23" t="str">
        <x:v>https://pubmed.ncbi.nlm.nih.gov/?term=(Lyz2%5BTitle%2FAbstract%5D)%20AND%20(mouse%20OR%20murine)</x:v>
      </x:c>
      <x:c r="T118" s="23" t="str"/>
    </x:row>
    <x:row r="119">
      <x:c r="A119" s="22" t="n">
        <x:v>116</x:v>
      </x:c>
      <x:c r="B119" s="23" t="str">
        <x:v>Mki67</x:v>
      </x:c>
      <x:c r="C119" s="23" t="str">
        <x:v>MKI67</x:v>
      </x:c>
      <x:c r="D119" s="23" t="str">
        <x:v>Conserved symbol; human ortholog</x:v>
      </x:c>
      <x:c r="E119" s="23" t="str">
        <x:v>No curated metabolic role</x:v>
      </x:c>
      <x:c r="F119" s="23" t="str"/>
      <x:c r="G119" s="23" t="str"/>
      <x:c r="H119" s="23" t="str">
        <x:v>No curated cell-death relation</x:v>
      </x:c>
      <x:c r="I119" s="23" t="str"/>
      <x:c r="J119" s="23" t="str"/>
      <x:c r="K119" s="23" t="str">
        <x:v>Cell proliferation</x:v>
      </x:c>
      <x:c r="L119" s="23" t="str">
        <x:v>Chromosome-associated protein expressed through active cell-cycle phases; organizes mitotic chromosome surfaces and marks proliferation.</x:v>
      </x:c>
      <x:c r="M119" s="23" t="str">
        <x:v>High</x:v>
      </x:c>
      <x:c r="N119" s="23" t="str"/>
      <x:c r="O119" s="23" t="str">
        <x:v>https://www.informatics.jax.org/quicksearch/summary?queryType=exactPhrase&amp;query=Mki67</x:v>
      </x:c>
      <x:c r="P119" s="23" t="str">
        <x:v>https://www.uniprot.org/uniprotkb?query=%28gene_exact%3AMki67%29+AND+%28organism_id%3A10090%29</x:v>
      </x:c>
      <x:c r="Q119" s="23" t="str">
        <x:v>https://www.ncbi.nlm.nih.gov/gene/?term=Mki67%5Bgene%5D%20AND%20Mus%20musculus%5Borgn%5D</x:v>
      </x:c>
      <x:c r="R119" s="23" t="str">
        <x:v>https://reactome.org/content/query?q=Mki67&amp;species=Mus%20musculus</x:v>
      </x:c>
      <x:c r="S119" s="23" t="str">
        <x:v>https://pubmed.ncbi.nlm.nih.gov/?term=(Mki67%5BTitle%2FAbstract%5D)%20AND%20(mouse%20OR%20murine)</x:v>
      </x:c>
      <x:c r="T119" s="23" t="str">
        <x:v>No sufficiently supported metabolism or cell-death role curated</x:v>
      </x:c>
    </x:row>
    <x:row r="120">
      <x:c r="A120" s="22" t="n">
        <x:v>117</x:v>
      </x:c>
      <x:c r="B120" s="23" t="str">
        <x:v>Mmp19</x:v>
      </x:c>
      <x:c r="C120" s="23" t="str">
        <x:v>MMP19</x:v>
      </x:c>
      <x:c r="D120" s="23" t="str">
        <x:v>Conserved symbol; human ortholog</x:v>
      </x:c>
      <x:c r="E120" s="23" t="str">
        <x:v>Direct biochemical/transport role</x:v>
      </x:c>
      <x:c r="F120" s="23" t="str">
        <x:v>Protein turnover, processing and proteostasis: ECM proteolysis</x:v>
      </x:c>
      <x:c r="G120" s="23" t="str">
        <x:v>Cleaves extracellular-matrix and selected signaling proteins during remodeling.</x:v>
      </x:c>
      <x:c r="H120" s="23" t="str">
        <x:v>No curated cell-death relation</x:v>
      </x:c>
      <x:c r="I120" s="23" t="str"/>
      <x:c r="J120" s="23" t="str"/>
      <x:c r="K120" s="23" t="str">
        <x:v>Extracellular-matrix proteolysis</x:v>
      </x:c>
      <x:c r="L120" s="23" t="str">
        <x:v>Secreted/membrane-associated matrix metalloproteinase that cleaves extracellular-matrix and signaling substrates during remodeling/inflammation.</x:v>
      </x:c>
      <x:c r="M120" s="23" t="str">
        <x:v>Moderate</x:v>
      </x:c>
      <x:c r="N120" s="23" t="str">
        <x:v>UNIPROT2025</x:v>
      </x:c>
      <x:c r="O120" s="23" t="str">
        <x:v>https://www.informatics.jax.org/quicksearch/summary?queryType=exactPhrase&amp;query=Mmp19</x:v>
      </x:c>
      <x:c r="P120" s="23" t="str">
        <x:v>https://www.uniprot.org/uniprotkb?query=%28gene_exact%3AMmp19%29+AND+%28organism_id%3A10090%29</x:v>
      </x:c>
      <x:c r="Q120" s="23" t="str">
        <x:v>https://www.ncbi.nlm.nih.gov/gene/?term=Mmp19%5Bgene%5D%20AND%20Mus%20musculus%5Borgn%5D</x:v>
      </x:c>
      <x:c r="R120" s="23" t="str">
        <x:v>https://reactome.org/content/query?q=Mmp19&amp;species=Mus%20musculus</x:v>
      </x:c>
      <x:c r="S120" s="23" t="str">
        <x:v>https://pubmed.ncbi.nlm.nih.gov/?term=(Mmp19%5BTitle%2FAbstract%5D)%20AND%20(mouse%20OR%20murine)</x:v>
      </x:c>
      <x:c r="T120" s="23" t="str"/>
    </x:row>
    <x:row r="121">
      <x:c r="A121" s="22" t="n">
        <x:v>118</x:v>
      </x:c>
      <x:c r="B121" s="23" t="str">
        <x:v>Mmp8</x:v>
      </x:c>
      <x:c r="C121" s="23" t="str">
        <x:v>MMP8</x:v>
      </x:c>
      <x:c r="D121" s="23" t="str">
        <x:v>Conserved symbol; human ortholog</x:v>
      </x:c>
      <x:c r="E121" s="23" t="str">
        <x:v>Direct biochemical/transport role</x:v>
      </x:c>
      <x:c r="F121" s="23" t="str">
        <x:v>Protein turnover, processing and proteostasis: Collagen and ECM proteolysis</x:v>
      </x:c>
      <x:c r="G121" s="23" t="str">
        <x:v>Neutrophil collagenase cleaves fibrillar collagens and additional inflammatory substrates.</x:v>
      </x:c>
      <x:c r="H121" s="23" t="str">
        <x:v>No curated cell-death relation</x:v>
      </x:c>
      <x:c r="I121" s="23" t="str"/>
      <x:c r="J121" s="23" t="str"/>
      <x:c r="K121" s="23" t="str">
        <x:v>Extracellular-matrix proteolysis; neutrophil granules</x:v>
      </x:c>
      <x:c r="L121" s="23" t="str">
        <x:v>Neutrophil collagenase cleaving fibrillar collagens and other extracellular/inflammatory substrates.</x:v>
      </x:c>
      <x:c r="M121" s="23" t="str">
        <x:v>High</x:v>
      </x:c>
      <x:c r="N121" s="23" t="str">
        <x:v>UNIPROT2025</x:v>
      </x:c>
      <x:c r="O121" s="23" t="str">
        <x:v>https://www.informatics.jax.org/quicksearch/summary?queryType=exactPhrase&amp;query=Mmp8</x:v>
      </x:c>
      <x:c r="P121" s="23" t="str">
        <x:v>https://www.uniprot.org/uniprotkb?query=%28gene_exact%3AMmp8%29+AND+%28organism_id%3A10090%29</x:v>
      </x:c>
      <x:c r="Q121" s="23" t="str">
        <x:v>https://www.ncbi.nlm.nih.gov/gene/?term=Mmp8%5Bgene%5D%20AND%20Mus%20musculus%5Borgn%5D</x:v>
      </x:c>
      <x:c r="R121" s="23" t="str">
        <x:v>https://reactome.org/content/query?q=Mmp8&amp;species=Mus%20musculus</x:v>
      </x:c>
      <x:c r="S121" s="23" t="str">
        <x:v>https://pubmed.ncbi.nlm.nih.gov/?term=(Mmp8%5BTitle%2FAbstract%5D)%20AND%20(mouse%20OR%20murine)</x:v>
      </x:c>
      <x:c r="T121" s="23" t="str"/>
    </x:row>
    <x:row r="122">
      <x:c r="A122" s="22" t="n">
        <x:v>119</x:v>
      </x:c>
      <x:c r="B122" s="23" t="str">
        <x:v>Mov10</x:v>
      </x:c>
      <x:c r="C122" s="23" t="str">
        <x:v>MOV10</x:v>
      </x:c>
      <x:c r="D122" s="23" t="str">
        <x:v>Conserved symbol; human ortholog</x:v>
      </x:c>
      <x:c r="E122" s="23" t="str">
        <x:v>No curated metabolic role</x:v>
      </x:c>
      <x:c r="F122" s="23" t="str"/>
      <x:c r="G122" s="23" t="str"/>
      <x:c r="H122" s="23" t="str">
        <x:v>No curated cell-death relation</x:v>
      </x:c>
      <x:c r="I122" s="23" t="str"/>
      <x:c r="J122" s="23" t="str"/>
      <x:c r="K122" s="23" t="str">
        <x:v>RNA helicase; antiviral/post-transcriptional control</x:v>
      </x:c>
      <x:c r="L122" s="23" t="str">
        <x:v>RNA helicase associated with RISC and ribonucleoprotein complexes, affecting RNA stability, translation and retroelement/viral restriction.</x:v>
      </x:c>
      <x:c r="M122" s="23" t="str">
        <x:v>High</x:v>
      </x:c>
      <x:c r="N122" s="23" t="str"/>
      <x:c r="O122" s="23" t="str">
        <x:v>https://www.informatics.jax.org/quicksearch/summary?queryType=exactPhrase&amp;query=Mov10</x:v>
      </x:c>
      <x:c r="P122" s="23" t="str">
        <x:v>https://www.uniprot.org/uniprotkb?query=%28gene_exact%3AMov10%29+AND+%28organism_id%3A10090%29</x:v>
      </x:c>
      <x:c r="Q122" s="23" t="str">
        <x:v>https://www.ncbi.nlm.nih.gov/gene/?term=Mov10%5Bgene%5D%20AND%20Mus%20musculus%5Borgn%5D</x:v>
      </x:c>
      <x:c r="R122" s="23" t="str">
        <x:v>https://reactome.org/content/query?q=Mov10&amp;species=Mus%20musculus</x:v>
      </x:c>
      <x:c r="S122" s="23" t="str">
        <x:v>https://pubmed.ncbi.nlm.nih.gov/?term=(Mov10%5BTitle%2FAbstract%5D)%20AND%20(mouse%20OR%20murine)</x:v>
      </x:c>
      <x:c r="T122" s="23" t="str">
        <x:v>No sufficiently supported metabolism or cell-death role curated</x:v>
      </x:c>
    </x:row>
    <x:row r="123">
      <x:c r="A123" s="22" t="n">
        <x:v>120</x:v>
      </x:c>
      <x:c r="B123" s="23" t="str">
        <x:v>Mpeg1</x:v>
      </x:c>
      <x:c r="C123" s="23" t="str">
        <x:v>MPEG1</x:v>
      </x:c>
      <x:c r="D123" s="23" t="str">
        <x:v>Conserved symbol; human ortholog</x:v>
      </x:c>
      <x:c r="E123" s="23" t="str">
        <x:v>No curated metabolic role</x:v>
      </x:c>
      <x:c r="F123" s="23" t="str"/>
      <x:c r="G123" s="23" t="str"/>
      <x:c r="H123" s="23" t="str">
        <x:v>No curated cell-death relation</x:v>
      </x:c>
      <x:c r="I123" s="23" t="str"/>
      <x:c r="J123" s="23" t="str"/>
      <x:c r="K123" s="23" t="str">
        <x:v>Pore-forming antimicrobial defense</x:v>
      </x:c>
      <x:c r="L123" s="23" t="str">
        <x:v>Macrophage-expressed perforin-like protein that damages microbial membranes within phagosomal compartments.</x:v>
      </x:c>
      <x:c r="M123" s="23" t="str">
        <x:v>Moderate</x:v>
      </x:c>
      <x:c r="N123" s="23" t="str"/>
      <x:c r="O123" s="23" t="str">
        <x:v>https://www.informatics.jax.org/quicksearch/summary?queryType=exactPhrase&amp;query=Mpeg1</x:v>
      </x:c>
      <x:c r="P123" s="23" t="str">
        <x:v>https://www.uniprot.org/uniprotkb?query=%28gene_exact%3AMpeg1%29+AND+%28organism_id%3A10090%29</x:v>
      </x:c>
      <x:c r="Q123" s="23" t="str">
        <x:v>https://www.ncbi.nlm.nih.gov/gene/?term=Mpeg1%5Bgene%5D%20AND%20Mus%20musculus%5Borgn%5D</x:v>
      </x:c>
      <x:c r="R123" s="23" t="str">
        <x:v>https://reactome.org/content/query?q=Mpeg1&amp;species=Mus%20musculus</x:v>
      </x:c>
      <x:c r="S123" s="23" t="str">
        <x:v>https://pubmed.ncbi.nlm.nih.gov/?term=(Mpeg1%5BTitle%2FAbstract%5D)%20AND%20(mouse%20OR%20murine)</x:v>
      </x:c>
      <x:c r="T123" s="23" t="str">
        <x:v>No sufficiently supported metabolism or cell-death role curated</x:v>
      </x:c>
    </x:row>
    <x:row r="124">
      <x:c r="A124" s="22" t="n">
        <x:v>121</x:v>
      </x:c>
      <x:c r="B124" s="23" t="str">
        <x:v>Mrc1</x:v>
      </x:c>
      <x:c r="C124" s="23" t="str">
        <x:v>MRC1</x:v>
      </x:c>
      <x:c r="D124" s="23" t="str">
        <x:v>Conserved symbol; human ortholog</x:v>
      </x:c>
      <x:c r="E124" s="23" t="str">
        <x:v>No curated metabolic role</x:v>
      </x:c>
      <x:c r="F124" s="23" t="str"/>
      <x:c r="G124" s="23" t="str"/>
      <x:c r="H124" s="23" t="str">
        <x:v>No curated cell-death relation</x:v>
      </x:c>
      <x:c r="I124" s="23" t="str"/>
      <x:c r="J124" s="23" t="str"/>
      <x:c r="K124" s="23" t="str">
        <x:v>Lectin-mediated endocytosis; tissue macrophages</x:v>
      </x:c>
      <x:c r="L124" s="23" t="str">
        <x:v>Mannose receptor recognizing terminal mannose/fucose/GlcNAc glycans and mediating endocytosis of glycoproteins, microbes and debris.</x:v>
      </x:c>
      <x:c r="M124" s="23" t="str">
        <x:v>High</x:v>
      </x:c>
      <x:c r="N124" s="23" t="str"/>
      <x:c r="O124" s="23" t="str">
        <x:v>https://www.informatics.jax.org/quicksearch/summary?queryType=exactPhrase&amp;query=Mrc1</x:v>
      </x:c>
      <x:c r="P124" s="23" t="str">
        <x:v>https://www.uniprot.org/uniprotkb?query=%28gene_exact%3AMrc1%29+AND+%28organism_id%3A10090%29</x:v>
      </x:c>
      <x:c r="Q124" s="23" t="str">
        <x:v>https://www.ncbi.nlm.nih.gov/gene/?term=Mrc1%5Bgene%5D%20AND%20Mus%20musculus%5Borgn%5D</x:v>
      </x:c>
      <x:c r="R124" s="23" t="str">
        <x:v>https://reactome.org/content/query?q=Mrc1&amp;species=Mus%20musculus</x:v>
      </x:c>
      <x:c r="S124" s="23" t="str">
        <x:v>https://pubmed.ncbi.nlm.nih.gov/?term=(Mrc1%5BTitle%2FAbstract%5D)%20AND%20(mouse%20OR%20murine)</x:v>
      </x:c>
      <x:c r="T124" s="23" t="str">
        <x:v>No sufficiently supported metabolism or cell-death role curated</x:v>
      </x:c>
    </x:row>
    <x:row r="125">
      <x:c r="A125" s="22" t="n">
        <x:v>122</x:v>
      </x:c>
      <x:c r="B125" s="23" t="str">
        <x:v>Ms4a6c</x:v>
      </x:c>
      <x:c r="C125" s="23" t="str">
        <x:v>MS4A6A/MS4A6E</x:v>
      </x:c>
      <x:c r="D125" s="23" t="str">
        <x:v>One mouse gene to multiple human MS4A6 genes</x:v>
      </x:c>
      <x:c r="E125" s="23" t="str">
        <x:v>No curated metabolic role</x:v>
      </x:c>
      <x:c r="F125" s="23" t="str"/>
      <x:c r="G125" s="23" t="str"/>
      <x:c r="H125" s="23" t="str">
        <x:v>No curated cell-death relation</x:v>
      </x:c>
      <x:c r="I125" s="23" t="str"/>
      <x:c r="J125" s="23" t="str"/>
      <x:c r="K125" s="23" t="str">
        <x:v>MS4A-family membrane signaling; myeloid marker</x:v>
      </x:c>
      <x:c r="L125" s="23" t="str">
        <x:v>Mouse MS4A6-family membrane protein predicted to participate in cell-surface signaling; exact ligands and mechanism remain poorly defined.</x:v>
      </x:c>
      <x:c r="M125" s="23" t="str">
        <x:v>Low</x:v>
      </x:c>
      <x:c r="N125" s="23" t="str"/>
      <x:c r="O125" s="23" t="str">
        <x:v>https://www.informatics.jax.org/quicksearch/summary?queryType=exactPhrase&amp;query=Ms4a6c</x:v>
      </x:c>
      <x:c r="P125" s="23" t="str">
        <x:v>https://www.uniprot.org/uniprotkb?query=%28gene_exact%3AMs4a6c%29+AND+%28organism_id%3A10090%29</x:v>
      </x:c>
      <x:c r="Q125" s="23" t="str">
        <x:v>https://www.ncbi.nlm.nih.gov/gene/?term=Ms4a6c%5Bgene%5D%20AND%20Mus%20musculus%5Borgn%5D</x:v>
      </x:c>
      <x:c r="R125" s="23" t="str">
        <x:v>https://reactome.org/content/query?q=Ms4a6c&amp;species=Mus%20musculus</x:v>
      </x:c>
      <x:c r="S125" s="23" t="str">
        <x:v>https://pubmed.ncbi.nlm.nih.gov/?term=(Ms4a6c%5BTitle%2FAbstract%5D)%20AND%20(mouse%20OR%20murine)</x:v>
      </x:c>
      <x:c r="T125" s="23" t="str">
        <x:v>Orthology requires caution; Function is poorly characterized or mainly predicted; No sufficiently supported metabolism or cell-death role curated</x:v>
      </x:c>
    </x:row>
    <x:row r="126">
      <x:c r="A126" s="22" t="n">
        <x:v>123</x:v>
      </x:c>
      <x:c r="B126" s="23" t="str">
        <x:v>Myo1f</x:v>
      </x:c>
      <x:c r="C126" s="23" t="str">
        <x:v>MYO1F</x:v>
      </x:c>
      <x:c r="D126" s="23" t="str">
        <x:v>Conserved symbol; human ortholog</x:v>
      </x:c>
      <x:c r="E126" s="23" t="str">
        <x:v>No curated metabolic role</x:v>
      </x:c>
      <x:c r="F126" s="23" t="str"/>
      <x:c r="G126" s="23" t="str"/>
      <x:c r="H126" s="23" t="str">
        <x:v>No curated cell-death relation</x:v>
      </x:c>
      <x:c r="I126" s="23" t="str"/>
      <x:c r="J126" s="23" t="str"/>
      <x:c r="K126" s="23" t="str">
        <x:v>Actin-based membrane dynamics</x:v>
      </x:c>
      <x:c r="L126" s="23" t="str">
        <x:v>Class-I myosin regulating membrane-cytoskeleton coupling, adhesion, migration and phagosome dynamics in leukocytes.</x:v>
      </x:c>
      <x:c r="M126" s="23" t="str">
        <x:v>High</x:v>
      </x:c>
      <x:c r="N126" s="23" t="str"/>
      <x:c r="O126" s="23" t="str">
        <x:v>https://www.informatics.jax.org/quicksearch/summary?queryType=exactPhrase&amp;query=Myo1f</x:v>
      </x:c>
      <x:c r="P126" s="23" t="str">
        <x:v>https://www.uniprot.org/uniprotkb?query=%28gene_exact%3AMyo1f%29+AND+%28organism_id%3A10090%29</x:v>
      </x:c>
      <x:c r="Q126" s="23" t="str">
        <x:v>https://www.ncbi.nlm.nih.gov/gene/?term=Myo1f%5Bgene%5D%20AND%20Mus%20musculus%5Borgn%5D</x:v>
      </x:c>
      <x:c r="R126" s="23" t="str">
        <x:v>https://reactome.org/content/query?q=Myo1f&amp;species=Mus%20musculus</x:v>
      </x:c>
      <x:c r="S126" s="23" t="str">
        <x:v>https://pubmed.ncbi.nlm.nih.gov/?term=(Myo1f%5BTitle%2FAbstract%5D)%20AND%20(mouse%20OR%20murine)</x:v>
      </x:c>
      <x:c r="T126" s="23" t="str">
        <x:v>No sufficiently supported metabolism or cell-death role curated</x:v>
      </x:c>
    </x:row>
    <x:row r="127">
      <x:c r="A127" s="22" t="n">
        <x:v>124</x:v>
      </x:c>
      <x:c r="B127" s="23" t="str">
        <x:v>Myo1g</x:v>
      </x:c>
      <x:c r="C127" s="23" t="str">
        <x:v>MYO1G</x:v>
      </x:c>
      <x:c r="D127" s="23" t="str">
        <x:v>Conserved symbol; human ortholog</x:v>
      </x:c>
      <x:c r="E127" s="23" t="str">
        <x:v>No curated metabolic role</x:v>
      </x:c>
      <x:c r="F127" s="23" t="str"/>
      <x:c r="G127" s="23" t="str"/>
      <x:c r="H127" s="23" t="str">
        <x:v>No curated cell-death relation</x:v>
      </x:c>
      <x:c r="I127" s="23" t="str"/>
      <x:c r="J127" s="23" t="str"/>
      <x:c r="K127" s="23" t="str">
        <x:v>Actin-based membrane dynamics</x:v>
      </x:c>
      <x:c r="L127" s="23" t="str">
        <x:v>Hematopoietic class-I myosin supporting plasma-membrane tension, migration and immune-cell deformation.</x:v>
      </x:c>
      <x:c r="M127" s="23" t="str">
        <x:v>High</x:v>
      </x:c>
      <x:c r="N127" s="23" t="str"/>
      <x:c r="O127" s="23" t="str">
        <x:v>https://www.informatics.jax.org/quicksearch/summary?queryType=exactPhrase&amp;query=Myo1g</x:v>
      </x:c>
      <x:c r="P127" s="23" t="str">
        <x:v>https://www.uniprot.org/uniprotkb?query=%28gene_exact%3AMyo1g%29+AND+%28organism_id%3A10090%29</x:v>
      </x:c>
      <x:c r="Q127" s="23" t="str">
        <x:v>https://www.ncbi.nlm.nih.gov/gene/?term=Myo1g%5Bgene%5D%20AND%20Mus%20musculus%5Borgn%5D</x:v>
      </x:c>
      <x:c r="R127" s="23" t="str">
        <x:v>https://reactome.org/content/query?q=Myo1g&amp;species=Mus%20musculus</x:v>
      </x:c>
      <x:c r="S127" s="23" t="str">
        <x:v>https://pubmed.ncbi.nlm.nih.gov/?term=(Myo1g%5BTitle%2FAbstract%5D)%20AND%20(mouse%20OR%20murine)</x:v>
      </x:c>
      <x:c r="T127" s="23" t="str">
        <x:v>No sufficiently supported metabolism or cell-death role curated</x:v>
      </x:c>
    </x:row>
    <x:row r="128">
      <x:c r="A128" s="22" t="n">
        <x:v>125</x:v>
      </x:c>
      <x:c r="B128" s="23" t="str">
        <x:v>Naglu</x:v>
      </x:c>
      <x:c r="C128" s="23" t="str">
        <x:v>NAGLU</x:v>
      </x:c>
      <x:c r="D128" s="23" t="str">
        <x:v>Conserved symbol; human ortholog</x:v>
      </x:c>
      <x:c r="E128" s="23" t="str">
        <x:v>Direct biochemical/transport role</x:v>
      </x:c>
      <x:c r="F128" s="23" t="str">
        <x:v>Glycan and glycoprotein metabolism: Lysosomal heparan-sulfate degradation</x:v>
      </x:c>
      <x:c r="G128" s="23" t="str">
        <x:v>Hydrolyzes terminal alpha-N-acetylglucosamine residues during stepwise heparan-sulfate catabolism.</x:v>
      </x:c>
      <x:c r="H128" s="23" t="str">
        <x:v>No curated cell-death relation</x:v>
      </x:c>
      <x:c r="I128" s="23" t="str"/>
      <x:c r="J128" s="23" t="str"/>
      <x:c r="K128" s="23" t="str">
        <x:v>Lysosomal glycosaminoglycan catabolism</x:v>
      </x:c>
      <x:c r="L128" s="23" t="str">
        <x:v>Alpha-N-acetylglucosaminidase hydrolyzing terminal N-acetylglucosamine residues during stepwise heparan-sulfate degradation.</x:v>
      </x:c>
      <x:c r="M128" s="23" t="str">
        <x:v>High</x:v>
      </x:c>
      <x:c r="N128" s="23" t="str">
        <x:v>NAGLU2022; UNIPROT2025</x:v>
      </x:c>
      <x:c r="O128" s="23" t="str">
        <x:v>https://www.informatics.jax.org/quicksearch/summary?queryType=exactPhrase&amp;query=Naglu</x:v>
      </x:c>
      <x:c r="P128" s="23" t="str">
        <x:v>https://www.uniprot.org/uniprotkb?query=%28gene_exact%3ANaglu%29+AND+%28organism_id%3A10090%29</x:v>
      </x:c>
      <x:c r="Q128" s="23" t="str">
        <x:v>https://www.ncbi.nlm.nih.gov/gene/?term=Naglu%5Bgene%5D%20AND%20Mus%20musculus%5Borgn%5D</x:v>
      </x:c>
      <x:c r="R128" s="23" t="str">
        <x:v>https://reactome.org/content/query?q=Naglu&amp;species=Mus%20musculus</x:v>
      </x:c>
      <x:c r="S128" s="23" t="str">
        <x:v>https://pubmed.ncbi.nlm.nih.gov/?term=(Naglu%5BTitle%2FAbstract%5D)%20AND%20(mouse%20OR%20murine)</x:v>
      </x:c>
      <x:c r="T128" s="23" t="str"/>
    </x:row>
    <x:row r="129">
      <x:c r="A129" s="22" t="n">
        <x:v>126</x:v>
      </x:c>
      <x:c r="B129" s="23" t="str">
        <x:v>Naip6</x:v>
      </x:c>
      <x:c r="C129" s="23" t="str">
        <x:v>NAIP</x:v>
      </x:c>
      <x:c r="D129" s="23" t="str">
        <x:v>Mouse NAIP-family paralog to single human NAIP</x:v>
      </x:c>
      <x:c r="E129" s="23" t="str">
        <x:v>No curated metabolic role</x:v>
      </x:c>
      <x:c r="F129" s="23" t="str"/>
      <x:c r="G129" s="23" t="str"/>
      <x:c r="H129" s="23" t="str">
        <x:v>Mechanistic pathway relation</x:v>
      </x:c>
      <x:c r="I129" s="23" t="str">
        <x:v>Pyroptosis</x:v>
      </x:c>
      <x:c r="J129" s="23" t="str">
        <x:v>Core upstream sensor: Mouse NAIP6 binds cytosolic bacterial flagellin and nucleates NLRC4 inflammasome activation, leading to caspase-1/GSDMD pyroptosis and IL-1-family cytokine release.</x:v>
      </x:c>
      <x:c r="K129" s="23" t="str">
        <x:v>NAIP/NLRC4 inflammasome sensing</x:v>
      </x:c>
      <x:c r="L129" s="23" t="str">
        <x:v>Mouse cytosolic innate sensor recognizing bacterial flagellin and nucleating NLRC4 inflammasome activation.</x:v>
      </x:c>
      <x:c r="M129" s="23" t="str">
        <x:v>High</x:v>
      </x:c>
      <x:c r="N129" s="23" t="str">
        <x:v>NAIP2023; GSDMD2015; NCCD2018</x:v>
      </x:c>
      <x:c r="O129" s="23" t="str">
        <x:v>https://www.informatics.jax.org/quicksearch/summary?queryType=exactPhrase&amp;query=Naip6</x:v>
      </x:c>
      <x:c r="P129" s="23" t="str">
        <x:v>https://www.uniprot.org/uniprotkb?query=%28gene_exact%3ANaip6%29+AND+%28organism_id%3A10090%29</x:v>
      </x:c>
      <x:c r="Q129" s="23" t="str">
        <x:v>https://www.ncbi.nlm.nih.gov/gene/?term=Naip6%5Bgene%5D%20AND%20Mus%20musculus%5Borgn%5D</x:v>
      </x:c>
      <x:c r="R129" s="23" t="str">
        <x:v>https://reactome.org/content/query?q=Naip6&amp;species=Mus%20musculus</x:v>
      </x:c>
      <x:c r="S129" s="23" t="str">
        <x:v>https://pubmed.ncbi.nlm.nih.gov/?term=(Naip6%5BTitle%2FAbstract%5D)%20AND%20(mouse%20OR%20murine)</x:v>
      </x:c>
      <x:c r="T129" s="23" t="str"/>
    </x:row>
    <x:row r="130">
      <x:c r="A130" s="22" t="n">
        <x:v>127</x:v>
      </x:c>
      <x:c r="B130" s="23" t="str">
        <x:v>Ncf1</x:v>
      </x:c>
      <x:c r="C130" s="23" t="str">
        <x:v>NCF1</x:v>
      </x:c>
      <x:c r="D130" s="23" t="str">
        <x:v>Conserved symbol; human ortholog</x:v>
      </x:c>
      <x:c r="E130" s="23" t="str">
        <x:v>Direct biochemical/transport role</x:v>
      </x:c>
      <x:c r="F130" s="23" t="str">
        <x:v>Redox metabolism: NOX2 respiratory burst</x:v>
      </x:c>
      <x:c r="G130" s="23" t="str">
        <x:v>p47phox organizes translocation and assembly of cytosolic oxidase subunits with membrane CYBB/CYBA.</x:v>
      </x:c>
      <x:c r="H130" s="23" t="str">
        <x:v>Contextual cell-death modifier</x:v>
      </x:c>
      <x:c r="I130" s="23" t="str">
        <x:v>Oxidative cell injury / NET formation</x:v>
      </x:c>
      <x:c r="J130" s="23" t="str">
        <x:v>ROS-generating complex component: p47phox-dependent NOX2 ROS can support oxidant-mediated death and some forms of NET formation.</x:v>
      </x:c>
      <x:c r="K130" s="23" t="str">
        <x:v>Phagocyte oxidase assembly; redox defense</x:v>
      </x:c>
      <x:c r="L130" s="23" t="str">
        <x:v>Cytosolic p47phox organizer subunit required to assemble/activate the NOX2 NADPH oxidase.</x:v>
      </x:c>
      <x:c r="M130" s="23" t="str">
        <x:v>High</x:v>
      </x:c>
      <x:c r="N130" s="23" t="str">
        <x:v>NOX2_2010; UNIPROT2025; NCCD2018</x:v>
      </x:c>
      <x:c r="O130" s="23" t="str">
        <x:v>https://www.informatics.jax.org/quicksearch/summary?queryType=exactPhrase&amp;query=Ncf1</x:v>
      </x:c>
      <x:c r="P130" s="23" t="str">
        <x:v>https://www.uniprot.org/uniprotkb?query=%28gene_exact%3ANcf1%29+AND+%28organism_id%3A10090%29</x:v>
      </x:c>
      <x:c r="Q130" s="23" t="str">
        <x:v>https://www.ncbi.nlm.nih.gov/gene/?term=Ncf1%5Bgene%5D%20AND%20Mus%20musculus%5Borgn%5D</x:v>
      </x:c>
      <x:c r="R130" s="23" t="str">
        <x:v>https://reactome.org/content/query?q=Ncf1&amp;species=Mus%20musculus</x:v>
      </x:c>
      <x:c r="S130" s="23" t="str">
        <x:v>https://pubmed.ncbi.nlm.nih.gov/?term=(Ncf1%5BTitle%2FAbstract%5D)%20AND%20(mouse%20OR%20murine)</x:v>
      </x:c>
      <x:c r="T130" s="23" t="str"/>
    </x:row>
    <x:row r="131">
      <x:c r="A131" s="22" t="n">
        <x:v>128</x:v>
      </x:c>
      <x:c r="B131" s="23" t="str">
        <x:v>Ncf2</x:v>
      </x:c>
      <x:c r="C131" s="23" t="str">
        <x:v>NCF2</x:v>
      </x:c>
      <x:c r="D131" s="23" t="str">
        <x:v>Conserved symbol; human ortholog</x:v>
      </x:c>
      <x:c r="E131" s="23" t="str">
        <x:v>Direct biochemical/transport role</x:v>
      </x:c>
      <x:c r="F131" s="23" t="str">
        <x:v>Redox metabolism: NOX2 respiratory burst</x:v>
      </x:c>
      <x:c r="G131" s="23" t="str">
        <x:v>p67phox activates the CYBB catalytic subunit and supports NADPH-dependent superoxide production.</x:v>
      </x:c>
      <x:c r="H131" s="23" t="str">
        <x:v>Contextual cell-death modifier</x:v>
      </x:c>
      <x:c r="I131" s="23" t="str">
        <x:v>Oxidative cell injury / NET formation</x:v>
      </x:c>
      <x:c r="J131" s="23" t="str">
        <x:v>ROS-generating complex component: p67phox-dependent activation of NOX2 produces ROS that can contribute to oxidant-mediated death and NET formation.</x:v>
      </x:c>
      <x:c r="K131" s="23" t="str">
        <x:v>Phagocyte oxidase assembly; redox defense</x:v>
      </x:c>
      <x:c r="L131" s="23" t="str">
        <x:v>Cytosolic p67phox activator subunit that stimulates electron transfer by the NOX2 complex.</x:v>
      </x:c>
      <x:c r="M131" s="23" t="str">
        <x:v>High</x:v>
      </x:c>
      <x:c r="N131" s="23" t="str">
        <x:v>NOX2_2010; UNIPROT2025; NCCD2018</x:v>
      </x:c>
      <x:c r="O131" s="23" t="str">
        <x:v>https://www.informatics.jax.org/quicksearch/summary?queryType=exactPhrase&amp;query=Ncf2</x:v>
      </x:c>
      <x:c r="P131" s="23" t="str">
        <x:v>https://www.uniprot.org/uniprotkb?query=%28gene_exact%3ANcf2%29+AND+%28organism_id%3A10090%29</x:v>
      </x:c>
      <x:c r="Q131" s="23" t="str">
        <x:v>https://www.ncbi.nlm.nih.gov/gene/?term=Ncf2%5Bgene%5D%20AND%20Mus%20musculus%5Borgn%5D</x:v>
      </x:c>
      <x:c r="R131" s="23" t="str">
        <x:v>https://reactome.org/content/query?q=Ncf2&amp;species=Mus%20musculus</x:v>
      </x:c>
      <x:c r="S131" s="23" t="str">
        <x:v>https://pubmed.ncbi.nlm.nih.gov/?term=(Ncf2%5BTitle%2FAbstract%5D)%20AND%20(mouse%20OR%20murine)</x:v>
      </x:c>
      <x:c r="T131" s="23" t="str"/>
    </x:row>
    <x:row r="132">
      <x:c r="A132" s="22" t="n">
        <x:v>129</x:v>
      </x:c>
      <x:c r="B132" s="23" t="str">
        <x:v>Nfkbia</x:v>
      </x:c>
      <x:c r="C132" s="23" t="str">
        <x:v>NFKBIA</x:v>
      </x:c>
      <x:c r="D132" s="23" t="str">
        <x:v>Conserved symbol; human ortholog</x:v>
      </x:c>
      <x:c r="E132" s="23" t="str">
        <x:v>No curated metabolic role</x:v>
      </x:c>
      <x:c r="F132" s="23" t="str"/>
      <x:c r="G132" s="23" t="str"/>
      <x:c r="H132" s="23" t="str">
        <x:v>Clearance/cargo/survival relation</x:v>
      </x:c>
      <x:c r="I132" s="23" t="str">
        <x:v>TNF-induced apoptosis/necroptosis</x:v>
      </x:c>
      <x:c r="J132" s="23" t="str">
        <x:v>Survival-pathway gatekeeper: I-kappaB-alpha restrains NF-kappaB; persistent NF-kappaB inhibition reduces induction of pro-survival genes and can shift TNFR1 signaling toward apoptosis or necroptosis.</x:v>
      </x:c>
      <x:c r="K132" s="23" t="str">
        <x:v>NF-kappaB inhibition; inflammatory signal control</x:v>
      </x:c>
      <x:c r="L132" s="23" t="str">
        <x:v>I-kappaB-alpha retains NF-kappaB dimers in the cytoplasm and is degraded after pathway activation, creating a negative-feedback loop.</x:v>
      </x:c>
      <x:c r="M132" s="23" t="str">
        <x:v>High</x:v>
      </x:c>
      <x:c r="N132" s="23" t="str">
        <x:v>TNF2022; NCCD2018</x:v>
      </x:c>
      <x:c r="O132" s="23" t="str">
        <x:v>https://www.informatics.jax.org/quicksearch/summary?queryType=exactPhrase&amp;query=Nfkbia</x:v>
      </x:c>
      <x:c r="P132" s="23" t="str">
        <x:v>https://www.uniprot.org/uniprotkb?query=%28gene_exact%3ANfkbia%29+AND+%28organism_id%3A10090%29</x:v>
      </x:c>
      <x:c r="Q132" s="23" t="str">
        <x:v>https://www.ncbi.nlm.nih.gov/gene/?term=Nfkbia%5Bgene%5D%20AND%20Mus%20musculus%5Borgn%5D</x:v>
      </x:c>
      <x:c r="R132" s="23" t="str">
        <x:v>https://reactome.org/content/query?q=Nfkbia&amp;species=Mus%20musculus</x:v>
      </x:c>
      <x:c r="S132" s="23" t="str">
        <x:v>https://pubmed.ncbi.nlm.nih.gov/?term=(Nfkbia%5BTitle%2FAbstract%5D)%20AND%20(mouse%20OR%20murine)</x:v>
      </x:c>
      <x:c r="T132" s="23" t="str"/>
    </x:row>
    <x:row r="133">
      <x:c r="A133" s="22" t="n">
        <x:v>130</x:v>
      </x:c>
      <x:c r="B133" s="23" t="str">
        <x:v>Nfkbiz</x:v>
      </x:c>
      <x:c r="C133" s="23" t="str">
        <x:v>NFKBIZ</x:v>
      </x:c>
      <x:c r="D133" s="23" t="str">
        <x:v>Conserved symbol; human ortholog</x:v>
      </x:c>
      <x:c r="E133" s="23" t="str">
        <x:v>No curated metabolic role</x:v>
      </x:c>
      <x:c r="F133" s="23" t="str"/>
      <x:c r="G133" s="23" t="str"/>
      <x:c r="H133" s="23" t="str">
        <x:v>No curated cell-death relation</x:v>
      </x:c>
      <x:c r="I133" s="23" t="str"/>
      <x:c r="J133" s="23" t="str"/>
      <x:c r="K133" s="23" t="str">
        <x:v>NF-kappaB transcriptional co-regulation</x:v>
      </x:c>
      <x:c r="L133" s="23" t="str">
        <x:v>Nuclear I-kappaB-zeta co-regulator induced by TLR/IL-1 signals and required for a subset of secondary inflammatory genes.</x:v>
      </x:c>
      <x:c r="M133" s="23" t="str">
        <x:v>High</x:v>
      </x:c>
      <x:c r="N133" s="23" t="str"/>
      <x:c r="O133" s="23" t="str">
        <x:v>https://www.informatics.jax.org/quicksearch/summary?queryType=exactPhrase&amp;query=Nfkbiz</x:v>
      </x:c>
      <x:c r="P133" s="23" t="str">
        <x:v>https://www.uniprot.org/uniprotkb?query=%28gene_exact%3ANfkbiz%29+AND+%28organism_id%3A10090%29</x:v>
      </x:c>
      <x:c r="Q133" s="23" t="str">
        <x:v>https://www.ncbi.nlm.nih.gov/gene/?term=Nfkbiz%5Bgene%5D%20AND%20Mus%20musculus%5Borgn%5D</x:v>
      </x:c>
      <x:c r="R133" s="23" t="str">
        <x:v>https://reactome.org/content/query?q=Nfkbiz&amp;species=Mus%20musculus</x:v>
      </x:c>
      <x:c r="S133" s="23" t="str">
        <x:v>https://pubmed.ncbi.nlm.nih.gov/?term=(Nfkbiz%5BTitle%2FAbstract%5D)%20AND%20(mouse%20OR%20murine)</x:v>
      </x:c>
      <x:c r="T133" s="23" t="str">
        <x:v>No sufficiently supported metabolism or cell-death role curated</x:v>
      </x:c>
    </x:row>
    <x:row r="134">
      <x:c r="A134" s="22" t="n">
        <x:v>131</x:v>
      </x:c>
      <x:c r="B134" s="23" t="str">
        <x:v>Nmi</x:v>
      </x:c>
      <x:c r="C134" s="23" t="str">
        <x:v>NMI</x:v>
      </x:c>
      <x:c r="D134" s="23" t="str">
        <x:v>Conserved symbol; human ortholog</x:v>
      </x:c>
      <x:c r="E134" s="23" t="str">
        <x:v>No curated metabolic role</x:v>
      </x:c>
      <x:c r="F134" s="23" t="str"/>
      <x:c r="G134" s="23" t="str"/>
      <x:c r="H134" s="23" t="str">
        <x:v>No curated cell-death relation</x:v>
      </x:c>
      <x:c r="I134" s="23" t="str"/>
      <x:c r="J134" s="23" t="str"/>
      <x:c r="K134" s="23" t="str">
        <x:v>JAK-STAT/transcriptional co-regulation</x:v>
      </x:c>
      <x:c r="L134" s="23" t="str">
        <x:v>N-MYC-interactor protein that modulates STAT and other transcription-factor programs; effects vary with cell state.</x:v>
      </x:c>
      <x:c r="M134" s="23" t="str">
        <x:v>Moderate</x:v>
      </x:c>
      <x:c r="N134" s="23" t="str"/>
      <x:c r="O134" s="23" t="str">
        <x:v>https://www.informatics.jax.org/quicksearch/summary?queryType=exactPhrase&amp;query=Nmi</x:v>
      </x:c>
      <x:c r="P134" s="23" t="str">
        <x:v>https://www.uniprot.org/uniprotkb?query=%28gene_exact%3ANmi%29+AND+%28organism_id%3A10090%29</x:v>
      </x:c>
      <x:c r="Q134" s="23" t="str">
        <x:v>https://www.ncbi.nlm.nih.gov/gene/?term=Nmi%5Bgene%5D%20AND%20Mus%20musculus%5Borgn%5D</x:v>
      </x:c>
      <x:c r="R134" s="23" t="str">
        <x:v>https://reactome.org/content/query?q=Nmi&amp;species=Mus%20musculus</x:v>
      </x:c>
      <x:c r="S134" s="23" t="str">
        <x:v>https://pubmed.ncbi.nlm.nih.gov/?term=(Nmi%5BTitle%2FAbstract%5D)%20AND%20(mouse%20OR%20murine)</x:v>
      </x:c>
      <x:c r="T134" s="23" t="str">
        <x:v>No sufficiently supported metabolism or cell-death role curated</x:v>
      </x:c>
    </x:row>
    <x:row r="135">
      <x:c r="A135" s="22" t="n">
        <x:v>132</x:v>
      </x:c>
      <x:c r="B135" s="23" t="str">
        <x:v>Nmnat2</x:v>
      </x:c>
      <x:c r="C135" s="23" t="str">
        <x:v>NMNAT2</x:v>
      </x:c>
      <x:c r="D135" s="23" t="str">
        <x:v>Conserved symbol; human ortholog</x:v>
      </x:c>
      <x:c r="E135" s="23" t="str">
        <x:v>Direct biochemical/transport role</x:v>
      </x:c>
      <x:c r="F135" s="23" t="str">
        <x:v>Nucleotide and cofactor metabolism: NAD biosynthesis/salvage</x:v>
      </x:c>
      <x:c r="G135" s="23" t="str">
        <x:v>Catalyzes NMN + ATP to NAD + pyrophosphate in the NAD salvage pathway.</x:v>
      </x:c>
      <x:c r="H135" s="23" t="str">
        <x:v>Clearance/cargo/survival relation</x:v>
      </x:c>
      <x:c r="I135" s="23" t="str">
        <x:v>Programmed axon degeneration</x:v>
      </x:c>
      <x:c r="J135" s="23" t="str">
        <x:v>Core survival suppressor of degeneration: Axonal NMNAT2 maintains NAD and prevents SARM1 activation; its loss after injury is a key trigger for Wallerian-like axon destruction.</x:v>
      </x:c>
      <x:c r="K135" s="23" t="str">
        <x:v>NAD biosynthesis; axon maintenance</x:v>
      </x:c>
      <x:c r="L135" s="23" t="str">
        <x:v>Nicotinamide-mononucleotide adenylyltransferase producing NAD from NMN and ATP; labile axonal survival factor opposing SARM1-dependent degeneration.</x:v>
      </x:c>
      <x:c r="M135" s="23" t="str">
        <x:v>High</x:v>
      </x:c>
      <x:c r="N135" s="23" t="str">
        <x:v>NMNAT2_2010; UNIPROT2025; REACTOME2024; NCCD2018</x:v>
      </x:c>
      <x:c r="O135" s="23" t="str">
        <x:v>https://www.informatics.jax.org/quicksearch/summary?queryType=exactPhrase&amp;query=Nmnat2</x:v>
      </x:c>
      <x:c r="P135" s="23" t="str">
        <x:v>https://www.uniprot.org/uniprotkb?query=%28gene_exact%3ANmnat2%29+AND+%28organism_id%3A10090%29</x:v>
      </x:c>
      <x:c r="Q135" s="23" t="str">
        <x:v>https://www.ncbi.nlm.nih.gov/gene/?term=Nmnat2%5Bgene%5D%20AND%20Mus%20musculus%5Borgn%5D</x:v>
      </x:c>
      <x:c r="R135" s="23" t="str">
        <x:v>https://reactome.org/content/query?q=Nmnat2&amp;species=Mus%20musculus</x:v>
      </x:c>
      <x:c r="S135" s="23" t="str">
        <x:v>https://pubmed.ncbi.nlm.nih.gov/?term=(Nmnat2%5BTitle%2FAbstract%5D)%20AND%20(mouse%20OR%20murine)</x:v>
      </x:c>
      <x:c r="T135" s="23" t="str"/>
    </x:row>
    <x:row r="136">
      <x:c r="A136" s="22" t="n">
        <x:v>133</x:v>
      </x:c>
      <x:c r="B136" s="23" t="str">
        <x:v>Npc2</x:v>
      </x:c>
      <x:c r="C136" s="23" t="str">
        <x:v>NPC2</x:v>
      </x:c>
      <x:c r="D136" s="23" t="str">
        <x:v>Conserved symbol; human ortholog</x:v>
      </x:c>
      <x:c r="E136" s="23" t="str">
        <x:v>Direct biochemical/transport role</x:v>
      </x:c>
      <x:c r="F136" s="23" t="str">
        <x:v>Lipid, sterol and lipoprotein metabolism: Lysosomal cholesterol export</x:v>
      </x:c>
      <x:c r="G136" s="23" t="str">
        <x:v>Binds unesterified cholesterol in the lysosomal lumen and transfers it between intralysosomal membranes and NPC1.</x:v>
      </x:c>
      <x:c r="H136" s="23" t="str">
        <x:v>No curated cell-death relation</x:v>
      </x:c>
      <x:c r="I136" s="23" t="str"/>
      <x:c r="J136" s="23" t="str"/>
      <x:c r="K136" s="23" t="str">
        <x:v>Lysosomal cholesterol trafficking</x:v>
      </x:c>
      <x:c r="L136" s="23" t="str">
        <x:v>Soluble lysosomal sterol-binding protein transferring LDL-derived cholesterol to/from NPC1 and intralysosomal membranes.</x:v>
      </x:c>
      <x:c r="M136" s="23" t="str">
        <x:v>High</x:v>
      </x:c>
      <x:c r="N136" s="23" t="str">
        <x:v>NPC2_2008; UNIPROT2025; REACTOME2024</x:v>
      </x:c>
      <x:c r="O136" s="23" t="str">
        <x:v>https://www.informatics.jax.org/quicksearch/summary?queryType=exactPhrase&amp;query=Npc2</x:v>
      </x:c>
      <x:c r="P136" s="23" t="str">
        <x:v>https://www.uniprot.org/uniprotkb?query=%28gene_exact%3ANpc2%29+AND+%28organism_id%3A10090%29</x:v>
      </x:c>
      <x:c r="Q136" s="23" t="str">
        <x:v>https://www.ncbi.nlm.nih.gov/gene/?term=Npc2%5Bgene%5D%20AND%20Mus%20musculus%5Borgn%5D</x:v>
      </x:c>
      <x:c r="R136" s="23" t="str">
        <x:v>https://reactome.org/content/query?q=Npc2&amp;species=Mus%20musculus</x:v>
      </x:c>
      <x:c r="S136" s="23" t="str">
        <x:v>https://pubmed.ncbi.nlm.nih.gov/?term=(Npc2%5BTitle%2FAbstract%5D)%20AND%20(mouse%20OR%20murine)</x:v>
      </x:c>
      <x:c r="T136" s="23" t="str"/>
    </x:row>
    <x:row r="137">
      <x:c r="A137" s="22" t="n">
        <x:v>134</x:v>
      </x:c>
      <x:c r="B137" s="23" t="str">
        <x:v>Nt5c</x:v>
      </x:c>
      <x:c r="C137" s="23" t="str">
        <x:v>NT5C</x:v>
      </x:c>
      <x:c r="D137" s="23" t="str">
        <x:v>Conserved symbol; human ortholog</x:v>
      </x:c>
      <x:c r="E137" s="23" t="str">
        <x:v>Direct biochemical/transport role</x:v>
      </x:c>
      <x:c r="F137" s="23" t="str">
        <x:v>Nucleotide and cofactor metabolism: Cytosolic nucleoside-monophosphate catabolism</x:v>
      </x:c>
      <x:c r="G137" s="23" t="str">
        <x:v>Hydrolyzes selected nucleoside 5-prime monophosphates to nucleosides plus inorganic phosphate.</x:v>
      </x:c>
      <x:c r="H137" s="23" t="str">
        <x:v>No curated cell-death relation</x:v>
      </x:c>
      <x:c r="I137" s="23" t="str"/>
      <x:c r="J137" s="23" t="str"/>
      <x:c r="K137" s="23" t="str">
        <x:v>Nucleotide catabolism</x:v>
      </x:c>
      <x:c r="L137" s="23" t="str">
        <x:v>Cytosolic 5-prime nucleotidase hydrolyzing selected nucleoside monophosphates to nucleosides and phosphate.</x:v>
      </x:c>
      <x:c r="M137" s="23" t="str">
        <x:v>High</x:v>
      </x:c>
      <x:c r="N137" s="23" t="str">
        <x:v>UNIPROT2025; REACTOME2024</x:v>
      </x:c>
      <x:c r="O137" s="23" t="str">
        <x:v>https://www.informatics.jax.org/quicksearch/summary?queryType=exactPhrase&amp;query=Nt5c</x:v>
      </x:c>
      <x:c r="P137" s="23" t="str">
        <x:v>https://www.uniprot.org/uniprotkb?query=%28gene_exact%3ANt5c%29+AND+%28organism_id%3A10090%29</x:v>
      </x:c>
      <x:c r="Q137" s="23" t="str">
        <x:v>https://www.ncbi.nlm.nih.gov/gene/?term=Nt5c%5Bgene%5D%20AND%20Mus%20musculus%5Borgn%5D</x:v>
      </x:c>
      <x:c r="R137" s="23" t="str">
        <x:v>https://reactome.org/content/query?q=Nt5c&amp;species=Mus%20musculus</x:v>
      </x:c>
      <x:c r="S137" s="23" t="str">
        <x:v>https://pubmed.ncbi.nlm.nih.gov/?term=(Nt5c%5BTitle%2FAbstract%5D)%20AND%20(mouse%20OR%20murine)</x:v>
      </x:c>
      <x:c r="T137" s="23" t="str"/>
    </x:row>
    <x:row r="138">
      <x:c r="A138" s="22" t="n">
        <x:v>135</x:v>
      </x:c>
      <x:c r="B138" s="23" t="str">
        <x:v>Nub1</x:v>
      </x:c>
      <x:c r="C138" s="23" t="str">
        <x:v>NUB1</x:v>
      </x:c>
      <x:c r="D138" s="23" t="str">
        <x:v>Conserved symbol; human ortholog</x:v>
      </x:c>
      <x:c r="E138" s="23" t="str">
        <x:v>No curated metabolic role</x:v>
      </x:c>
      <x:c r="F138" s="23" t="str"/>
      <x:c r="G138" s="23" t="str"/>
      <x:c r="H138" s="23" t="str">
        <x:v>No curated cell-death relation</x:v>
      </x:c>
      <x:c r="I138" s="23" t="str"/>
      <x:c r="J138" s="23" t="str"/>
      <x:c r="K138" s="23" t="str">
        <x:v>Ubiquitin-like protein turnover</x:v>
      </x:c>
      <x:c r="L138" s="23" t="str">
        <x:v>Interferon-inducible adaptor that recruits NEDD8/FAT10-conjugated proteins toward proteasomal degradation; not established as a core death protein.</x:v>
      </x:c>
      <x:c r="M138" s="23" t="str">
        <x:v>High</x:v>
      </x:c>
      <x:c r="N138" s="23" t="str"/>
      <x:c r="O138" s="23" t="str">
        <x:v>https://www.informatics.jax.org/quicksearch/summary?queryType=exactPhrase&amp;query=Nub1</x:v>
      </x:c>
      <x:c r="P138" s="23" t="str">
        <x:v>https://www.uniprot.org/uniprotkb?query=%28gene_exact%3ANub1%29+AND+%28organism_id%3A10090%29</x:v>
      </x:c>
      <x:c r="Q138" s="23" t="str">
        <x:v>https://www.ncbi.nlm.nih.gov/gene/?term=Nub1%5Bgene%5D%20AND%20Mus%20musculus%5Borgn%5D</x:v>
      </x:c>
      <x:c r="R138" s="23" t="str">
        <x:v>https://reactome.org/content/query?q=Nub1&amp;species=Mus%20musculus</x:v>
      </x:c>
      <x:c r="S138" s="23" t="str">
        <x:v>https://pubmed.ncbi.nlm.nih.gov/?term=(Nub1%5BTitle%2FAbstract%5D)%20AND%20(mouse%20OR%20murine)</x:v>
      </x:c>
      <x:c r="T138" s="23" t="str">
        <x:v>No sufficiently supported metabolism or cell-death role curated</x:v>
      </x:c>
    </x:row>
    <x:row r="139">
      <x:c r="A139" s="22" t="n">
        <x:v>136</x:v>
      </x:c>
      <x:c r="B139" s="23" t="str">
        <x:v>Oas1a</x:v>
      </x:c>
      <x:c r="C139" s="23" t="str">
        <x:v>OAS1</x:v>
      </x:c>
      <x:c r="D139" s="23" t="str">
        <x:v>Mouse Oas1 paralog-family mapping</x:v>
      </x:c>
      <x:c r="E139" s="23" t="str">
        <x:v>Direct biochemical/transport role</x:v>
      </x:c>
      <x:c r="F139" s="23" t="str">
        <x:v>Nucleotide and cofactor metabolism: 2-prime-5-prime oligoadenylate synthesis</x:v>
      </x:c>
      <x:c r="G139" s="23" t="str">
        <x:v>Uses ATP to synthesize 2-5A oligoadenylates after dsRNA binding; 2-5A activates RNase L.</x:v>
      </x:c>
      <x:c r="H139" s="23" t="str">
        <x:v>Contextual cell-death modifier</x:v>
      </x:c>
      <x:c r="I139" s="23" t="str">
        <x:v>RNase-L-mediated apoptosis / antiviral death</x:v>
      </x:c>
      <x:c r="J139" s="23" t="str">
        <x:v>Upstream second-messenger enzyme: OAS1-family enzymes generate 2-5A, activating RNase L to degrade cellular/viral RNA and drive apoptosis in defined antiviral or synthetic-RNA contexts.</x:v>
      </x:c>
      <x:c r="K139" s="23" t="str">
        <x:v>Antiviral nucleotide signaling</x:v>
      </x:c>
      <x:c r="L139" s="23" t="str">
        <x:v>Interferon-induced 2-prime-5-prime oligoadenylate synthetase that uses ATP to make 2-5A activators of RNase L after sensing dsRNA.</x:v>
      </x:c>
      <x:c r="M139" s="23" t="str">
        <x:v>High</x:v>
      </x:c>
      <x:c r="N139" s="23" t="str">
        <x:v>UNIPROT2025; REACTOME2024; OAS1_2021; NCCD2018</x:v>
      </x:c>
      <x:c r="O139" s="23" t="str">
        <x:v>https://www.informatics.jax.org/quicksearch/summary?queryType=exactPhrase&amp;query=Oas1a</x:v>
      </x:c>
      <x:c r="P139" s="23" t="str">
        <x:v>https://www.uniprot.org/uniprotkb?query=%28gene_exact%3AOas1a%29+AND+%28organism_id%3A10090%29</x:v>
      </x:c>
      <x:c r="Q139" s="23" t="str">
        <x:v>https://www.ncbi.nlm.nih.gov/gene/?term=Oas1a%5Bgene%5D%20AND%20Mus%20musculus%5Borgn%5D</x:v>
      </x:c>
      <x:c r="R139" s="23" t="str">
        <x:v>https://reactome.org/content/query?q=Oas1a&amp;species=Mus%20musculus</x:v>
      </x:c>
      <x:c r="S139" s="23" t="str">
        <x:v>https://pubmed.ncbi.nlm.nih.gov/?term=(Oas1a%5BTitle%2FAbstract%5D)%20AND%20(mouse%20OR%20murine)</x:v>
      </x:c>
      <x:c r="T139" s="23" t="str"/>
    </x:row>
    <x:row r="140">
      <x:c r="A140" s="22" t="n">
        <x:v>137</x:v>
      </x:c>
      <x:c r="B140" s="23" t="str">
        <x:v>Os9</x:v>
      </x:c>
      <x:c r="C140" s="23" t="str">
        <x:v>OS9</x:v>
      </x:c>
      <x:c r="D140" s="23" t="str">
        <x:v>Conserved symbol; human ortholog</x:v>
      </x:c>
      <x:c r="E140" s="23" t="str">
        <x:v>Direct biochemical/transport role</x:v>
      </x:c>
      <x:c r="F140" s="23" t="str">
        <x:v>Protein turnover, processing and proteostasis: ER-associated glycoprotein degradation</x:v>
      </x:c>
      <x:c r="G140" s="23" t="str">
        <x:v>Recognizes misfolded glycoproteins and delivers them to SEL1L-HRD1 ERAD for retrotranslocation and proteasomal degradation.</x:v>
      </x:c>
      <x:c r="H140" s="23" t="str">
        <x:v>Clearance/cargo/survival relation</x:v>
      </x:c>
      <x:c r="I140" s="23" t="str">
        <x:v>ER-stress-induced apoptosis</x:v>
      </x:c>
      <x:c r="J140" s="23" t="str">
        <x:v>Proteostasis/survival modifier: OS9-mediated ERAD clears misfolded glycoproteins and can reduce chronic UPR stress that otherwise promotes apoptosis.</x:v>
      </x:c>
      <x:c r="K140" s="23" t="str">
        <x:v>ER-associated degradation</x:v>
      </x:c>
      <x:c r="L140" s="23" t="str">
        <x:v>ER lectin recognizing misfolded glycoproteins and delivering them to the SEL1L-HRD1 ERAD machinery.</x:v>
      </x:c>
      <x:c r="M140" s="23" t="str">
        <x:v>High</x:v>
      </x:c>
      <x:c r="N140" s="23" t="str">
        <x:v>UNIPROT2025; REACTOME2024; NCCD2018</x:v>
      </x:c>
      <x:c r="O140" s="23" t="str">
        <x:v>https://www.informatics.jax.org/quicksearch/summary?queryType=exactPhrase&amp;query=Os9</x:v>
      </x:c>
      <x:c r="P140" s="23" t="str">
        <x:v>https://www.uniprot.org/uniprotkb?query=%28gene_exact%3AOs9%29+AND+%28organism_id%3A10090%29</x:v>
      </x:c>
      <x:c r="Q140" s="23" t="str">
        <x:v>https://www.ncbi.nlm.nih.gov/gene/?term=Os9%5Bgene%5D%20AND%20Mus%20musculus%5Borgn%5D</x:v>
      </x:c>
      <x:c r="R140" s="23" t="str">
        <x:v>https://reactome.org/content/query?q=Os9&amp;species=Mus%20musculus</x:v>
      </x:c>
      <x:c r="S140" s="23" t="str">
        <x:v>https://pubmed.ncbi.nlm.nih.gov/?term=(Os9%5BTitle%2FAbstract%5D)%20AND%20(mouse%20OR%20murine)</x:v>
      </x:c>
      <x:c r="T140" s="23" t="str"/>
    </x:row>
    <x:row r="141">
      <x:c r="A141" s="22" t="n">
        <x:v>138</x:v>
      </x:c>
      <x:c r="B141" s="23" t="str">
        <x:v>Osm</x:v>
      </x:c>
      <x:c r="C141" s="23" t="str">
        <x:v>OSM</x:v>
      </x:c>
      <x:c r="D141" s="23" t="str">
        <x:v>Conserved symbol; human ortholog</x:v>
      </x:c>
      <x:c r="E141" s="23" t="str">
        <x:v>No curated metabolic role</x:v>
      </x:c>
      <x:c r="F141" s="23" t="str"/>
      <x:c r="G141" s="23" t="str"/>
      <x:c r="H141" s="23" t="str">
        <x:v>No curated cell-death relation</x:v>
      </x:c>
      <x:c r="I141" s="23" t="str"/>
      <x:c r="J141" s="23" t="str"/>
      <x:c r="K141" s="23" t="str">
        <x:v>IL-6-family cytokine signaling</x:v>
      </x:c>
      <x:c r="L141" s="23" t="str">
        <x:v>Oncostatin M activates OSMR/LIFR complexes to regulate inflammation, hematopoiesis, tissue remodeling and growth.</x:v>
      </x:c>
      <x:c r="M141" s="23" t="str">
        <x:v>High</x:v>
      </x:c>
      <x:c r="N141" s="23" t="str"/>
      <x:c r="O141" s="23" t="str">
        <x:v>https://www.informatics.jax.org/quicksearch/summary?queryType=exactPhrase&amp;query=Osm</x:v>
      </x:c>
      <x:c r="P141" s="23" t="str">
        <x:v>https://www.uniprot.org/uniprotkb?query=%28gene_exact%3AOsm%29+AND+%28organism_id%3A10090%29</x:v>
      </x:c>
      <x:c r="Q141" s="23" t="str">
        <x:v>https://www.ncbi.nlm.nih.gov/gene/?term=Osm%5Bgene%5D%20AND%20Mus%20musculus%5Borgn%5D</x:v>
      </x:c>
      <x:c r="R141" s="23" t="str">
        <x:v>https://reactome.org/content/query?q=Osm&amp;species=Mus%20musculus</x:v>
      </x:c>
      <x:c r="S141" s="23" t="str">
        <x:v>https://pubmed.ncbi.nlm.nih.gov/?term=(Osm%5BTitle%2FAbstract%5D)%20AND%20(mouse%20OR%20murine)</x:v>
      </x:c>
      <x:c r="T141" s="23" t="str">
        <x:v>No sufficiently supported metabolism or cell-death role curated</x:v>
      </x:c>
    </x:row>
    <x:row r="142">
      <x:c r="A142" s="22" t="n">
        <x:v>139</x:v>
      </x:c>
      <x:c r="B142" s="23" t="str">
        <x:v>P2ry6</x:v>
      </x:c>
      <x:c r="C142" s="23" t="str">
        <x:v>P2RY6</x:v>
      </x:c>
      <x:c r="D142" s="23" t="str">
        <x:v>Conserved symbol; human ortholog</x:v>
      </x:c>
      <x:c r="E142" s="23" t="str">
        <x:v>No curated metabolic role</x:v>
      </x:c>
      <x:c r="F142" s="23" t="str"/>
      <x:c r="G142" s="23" t="str"/>
      <x:c r="H142" s="23" t="str">
        <x:v>No curated cell-death relation</x:v>
      </x:c>
      <x:c r="I142" s="23" t="str"/>
      <x:c r="J142" s="23" t="str"/>
      <x:c r="K142" s="23" t="str">
        <x:v>Purinergic signaling; phagocytosis</x:v>
      </x:c>
      <x:c r="L142" s="23" t="str">
        <x:v>Gq-coupled receptor for extracellular UDP, activating PLC/calcium signaling and promoting chemotaxis or phagocytosis in selected cells.</x:v>
      </x:c>
      <x:c r="M142" s="23" t="str">
        <x:v>High</x:v>
      </x:c>
      <x:c r="N142" s="23" t="str"/>
      <x:c r="O142" s="23" t="str">
        <x:v>https://www.informatics.jax.org/quicksearch/summary?queryType=exactPhrase&amp;query=P2ry6</x:v>
      </x:c>
      <x:c r="P142" s="23" t="str">
        <x:v>https://www.uniprot.org/uniprotkb?query=%28gene_exact%3AP2ry6%29+AND+%28organism_id%3A10090%29</x:v>
      </x:c>
      <x:c r="Q142" s="23" t="str">
        <x:v>https://www.ncbi.nlm.nih.gov/gene/?term=P2ry6%5Bgene%5D%20AND%20Mus%20musculus%5Borgn%5D</x:v>
      </x:c>
      <x:c r="R142" s="23" t="str">
        <x:v>https://reactome.org/content/query?q=P2ry6&amp;species=Mus%20musculus</x:v>
      </x:c>
      <x:c r="S142" s="23" t="str">
        <x:v>https://pubmed.ncbi.nlm.nih.gov/?term=(P2ry6%5BTitle%2FAbstract%5D)%20AND%20(mouse%20OR%20murine)</x:v>
      </x:c>
      <x:c r="T142" s="23" t="str">
        <x:v>No sufficiently supported metabolism or cell-death role curated</x:v>
      </x:c>
    </x:row>
    <x:row r="143">
      <x:c r="A143" s="22" t="n">
        <x:v>140</x:v>
      </x:c>
      <x:c r="B143" s="23" t="str">
        <x:v>Pald1</x:v>
      </x:c>
      <x:c r="C143" s="23" t="str">
        <x:v>PALD1</x:v>
      </x:c>
      <x:c r="D143" s="23" t="str">
        <x:v>Conserved symbol; human ortholog</x:v>
      </x:c>
      <x:c r="E143" s="23" t="str">
        <x:v>No curated metabolic role</x:v>
      </x:c>
      <x:c r="F143" s="23" t="str"/>
      <x:c r="G143" s="23" t="str"/>
      <x:c r="H143" s="23" t="str">
        <x:v>No curated cell-death relation</x:v>
      </x:c>
      <x:c r="I143" s="23" t="str"/>
      <x:c r="J143" s="23" t="str"/>
      <x:c r="K143" s="23" t="str">
        <x:v>Vascular/innate signaling; phosphatase-like protein</x:v>
      </x:c>
      <x:c r="L143" s="23" t="str">
        <x:v>Paladin is a phosphatase-domain protein associated with endothelial signaling and angiogenesis; catalytic specificity and immune roles remain incompletely resolved.</x:v>
      </x:c>
      <x:c r="M143" s="23" t="str">
        <x:v>Low</x:v>
      </x:c>
      <x:c r="N143" s="23" t="str"/>
      <x:c r="O143" s="23" t="str">
        <x:v>https://www.informatics.jax.org/quicksearch/summary?queryType=exactPhrase&amp;query=Pald1</x:v>
      </x:c>
      <x:c r="P143" s="23" t="str">
        <x:v>https://www.uniprot.org/uniprotkb?query=%28gene_exact%3APald1%29+AND+%28organism_id%3A10090%29</x:v>
      </x:c>
      <x:c r="Q143" s="23" t="str">
        <x:v>https://www.ncbi.nlm.nih.gov/gene/?term=Pald1%5Bgene%5D%20AND%20Mus%20musculus%5Borgn%5D</x:v>
      </x:c>
      <x:c r="R143" s="23" t="str">
        <x:v>https://reactome.org/content/query?q=Pald1&amp;species=Mus%20musculus</x:v>
      </x:c>
      <x:c r="S143" s="23" t="str">
        <x:v>https://pubmed.ncbi.nlm.nih.gov/?term=(Pald1%5BTitle%2FAbstract%5D)%20AND%20(mouse%20OR%20murine)</x:v>
      </x:c>
      <x:c r="T143" s="23" t="str">
        <x:v>Function is poorly characterized or mainly predicted; No sufficiently supported metabolism or cell-death role curated</x:v>
      </x:c>
    </x:row>
    <x:row r="144">
      <x:c r="A144" s="22" t="n">
        <x:v>141</x:v>
      </x:c>
      <x:c r="B144" s="23" t="str">
        <x:v>Pdia6</x:v>
      </x:c>
      <x:c r="C144" s="23" t="str">
        <x:v>PDIA6</x:v>
      </x:c>
      <x:c r="D144" s="23" t="str">
        <x:v>Conserved symbol; human ortholog</x:v>
      </x:c>
      <x:c r="E144" s="23" t="str">
        <x:v>Direct biochemical/transport role</x:v>
      </x:c>
      <x:c r="F144" s="23" t="str">
        <x:v>Redox metabolism: ER oxidative protein folding</x:v>
      </x:c>
      <x:c r="G144" s="23" t="str">
        <x:v>Catalyzes thiol-disulfide exchange during ER protein folding and modulates UPR sensors.</x:v>
      </x:c>
      <x:c r="H144" s="23" t="str">
        <x:v>Clearance/cargo/survival relation</x:v>
      </x:c>
      <x:c r="I144" s="23" t="str">
        <x:v>ER-stress-induced apoptosis</x:v>
      </x:c>
      <x:c r="J144" s="23" t="str">
        <x:v>Proteostasis/survival modifier: PDIA6 supports oxidative folding and restrains/reshapes UPR signaling; depletion can sensitize cells to ischemic, ER-stress or chemotherapy-associated death.</x:v>
      </x:c>
      <x:c r="K144" s="23" t="str">
        <x:v>ER oxidative folding and stress signaling</x:v>
      </x:c>
      <x:c r="L144" s="23" t="str">
        <x:v>Protein disulfide isomerase-family oxidoreductase assisting disulfide-bond formation and modulating unfolded-protein-response sensors.</x:v>
      </x:c>
      <x:c r="M144" s="23" t="str">
        <x:v>High</x:v>
      </x:c>
      <x:c r="N144" s="23" t="str">
        <x:v>UNIPROT2025; REACTOME2024; PDIA6_2012; NCCD2018</x:v>
      </x:c>
      <x:c r="O144" s="23" t="str">
        <x:v>https://www.informatics.jax.org/quicksearch/summary?queryType=exactPhrase&amp;query=Pdia6</x:v>
      </x:c>
      <x:c r="P144" s="23" t="str">
        <x:v>https://www.uniprot.org/uniprotkb?query=%28gene_exact%3APdia6%29+AND+%28organism_id%3A10090%29</x:v>
      </x:c>
      <x:c r="Q144" s="23" t="str">
        <x:v>https://www.ncbi.nlm.nih.gov/gene/?term=Pdia6%5Bgene%5D%20AND%20Mus%20musculus%5Borgn%5D</x:v>
      </x:c>
      <x:c r="R144" s="23" t="str">
        <x:v>https://reactome.org/content/query?q=Pdia6&amp;species=Mus%20musculus</x:v>
      </x:c>
      <x:c r="S144" s="23" t="str">
        <x:v>https://pubmed.ncbi.nlm.nih.gov/?term=(Pdia6%5BTitle%2FAbstract%5D)%20AND%20(mouse%20OR%20murine)</x:v>
      </x:c>
      <x:c r="T144" s="23" t="str"/>
    </x:row>
    <x:row r="145">
      <x:c r="A145" s="22" t="n">
        <x:v>142</x:v>
      </x:c>
      <x:c r="B145" s="23" t="str">
        <x:v>Pgd</x:v>
      </x:c>
      <x:c r="C145" s="23" t="str">
        <x:v>PGD</x:v>
      </x:c>
      <x:c r="D145" s="23" t="str">
        <x:v>Conserved symbol; human ortholog</x:v>
      </x:c>
      <x:c r="E145" s="23" t="str">
        <x:v>Direct biochemical/transport role</x:v>
      </x:c>
      <x:c r="F145" s="23" t="str">
        <x:v>Carbohydrate and central-carbon metabolism: Oxidative pentose-phosphate pathway</x:v>
      </x:c>
      <x:c r="G145" s="23" t="str">
        <x:v>Converts 6-phosphogluconate to ribulose-5-phosphate, CO2 and NADPH.</x:v>
      </x:c>
      <x:c r="H145" s="23" t="str">
        <x:v>Contextual cell-death modifier</x:v>
      </x:c>
      <x:c r="I145" s="23" t="str">
        <x:v>Ferroptosis / oxidative death</x:v>
      </x:c>
      <x:c r="J145" s="23" t="str">
        <x:v>Metabolic-redox modifier: PGD supplies NADPH through the oxidative pentose-phosphate pathway, supporting glutathione/thioredoxin reduction and resistance to lipid-peroxide/ROS-driven death.</x:v>
      </x:c>
      <x:c r="K145" s="23" t="str">
        <x:v>Oxidative pentose-phosphate pathway</x:v>
      </x:c>
      <x:c r="L145" s="23" t="str">
        <x:v>6-phosphogluconate dehydrogenase converts 6-phosphogluconate to ribulose-5-phosphate while generating NADPH and CO2.</x:v>
      </x:c>
      <x:c r="M145" s="23" t="str">
        <x:v>High</x:v>
      </x:c>
      <x:c r="N145" s="23" t="str">
        <x:v>PGD2021; UNIPROT2025; REACTOME2024; FERRO2017</x:v>
      </x:c>
      <x:c r="O145" s="23" t="str">
        <x:v>https://www.informatics.jax.org/quicksearch/summary?queryType=exactPhrase&amp;query=Pgd</x:v>
      </x:c>
      <x:c r="P145" s="23" t="str">
        <x:v>https://www.uniprot.org/uniprotkb?query=%28gene_exact%3APgd%29+AND+%28organism_id%3A10090%29</x:v>
      </x:c>
      <x:c r="Q145" s="23" t="str">
        <x:v>https://www.ncbi.nlm.nih.gov/gene/?term=Pgd%5Bgene%5D%20AND%20Mus%20musculus%5Borgn%5D</x:v>
      </x:c>
      <x:c r="R145" s="23" t="str">
        <x:v>https://reactome.org/content/query?q=Pgd&amp;species=Mus%20musculus</x:v>
      </x:c>
      <x:c r="S145" s="23" t="str">
        <x:v>https://pubmed.ncbi.nlm.nih.gov/?term=(Pgd%5BTitle%2FAbstract%5D)%20AND%20(mouse%20OR%20murine)</x:v>
      </x:c>
      <x:c r="T145" s="23" t="str"/>
    </x:row>
    <x:row r="146">
      <x:c r="A146" s="22" t="n">
        <x:v>143</x:v>
      </x:c>
      <x:c r="B146" s="23" t="str">
        <x:v>Pglyrp1</x:v>
      </x:c>
      <x:c r="C146" s="23" t="str">
        <x:v>PGLYRP1</x:v>
      </x:c>
      <x:c r="D146" s="23" t="str">
        <x:v>Conserved symbol; human ortholog</x:v>
      </x:c>
      <x:c r="E146" s="23" t="str">
        <x:v>No curated metabolic role</x:v>
      </x:c>
      <x:c r="F146" s="23" t="str"/>
      <x:c r="G146" s="23" t="str"/>
      <x:c r="H146" s="23" t="str">
        <x:v>No curated cell-death relation</x:v>
      </x:c>
      <x:c r="I146" s="23" t="str"/>
      <x:c r="J146" s="23" t="str"/>
      <x:c r="K146" s="23" t="str">
        <x:v>Bacterial pattern recognition; neutrophil granules</x:v>
      </x:c>
      <x:c r="L146" s="23" t="str">
        <x:v>Secreted peptidoglycan-recognition protein with antibacterial activity and immunomodulatory effects, abundant in neutrophil granules.</x:v>
      </x:c>
      <x:c r="M146" s="23" t="str">
        <x:v>High</x:v>
      </x:c>
      <x:c r="N146" s="23" t="str"/>
      <x:c r="O146" s="23" t="str">
        <x:v>https://www.informatics.jax.org/quicksearch/summary?queryType=exactPhrase&amp;query=Pglyrp1</x:v>
      </x:c>
      <x:c r="P146" s="23" t="str">
        <x:v>https://www.uniprot.org/uniprotkb?query=%28gene_exact%3APglyrp1%29+AND+%28organism_id%3A10090%29</x:v>
      </x:c>
      <x:c r="Q146" s="23" t="str">
        <x:v>https://www.ncbi.nlm.nih.gov/gene/?term=Pglyrp1%5Bgene%5D%20AND%20Mus%20musculus%5Borgn%5D</x:v>
      </x:c>
      <x:c r="R146" s="23" t="str">
        <x:v>https://reactome.org/content/query?q=Pglyrp1&amp;species=Mus%20musculus</x:v>
      </x:c>
      <x:c r="S146" s="23" t="str">
        <x:v>https://pubmed.ncbi.nlm.nih.gov/?term=(Pglyrp1%5BTitle%2FAbstract%5D)%20AND%20(mouse%20OR%20murine)</x:v>
      </x:c>
      <x:c r="T146" s="23" t="str">
        <x:v>No sufficiently supported metabolism or cell-death role curated</x:v>
      </x:c>
    </x:row>
    <x:row r="147">
      <x:c r="A147" s="22" t="n">
        <x:v>144</x:v>
      </x:c>
      <x:c r="B147" s="23" t="str">
        <x:v>Pik3cg</x:v>
      </x:c>
      <x:c r="C147" s="23" t="str">
        <x:v>PIK3CG</x:v>
      </x:c>
      <x:c r="D147" s="23" t="str">
        <x:v>Conserved symbol; human ortholog</x:v>
      </x:c>
      <x:c r="E147" s="23" t="str">
        <x:v>Direct biochemical/transport role</x:v>
      </x:c>
      <x:c r="F147" s="23" t="str">
        <x:v>Lipid, sterol and lipoprotein metabolism: Phosphoinositide phosphorylation</x:v>
      </x:c>
      <x:c r="G147" s="23" t="str">
        <x:v>Phosphorylates phosphatidylinositol-4,5-bisphosphate to PIP3 downstream of GPCRs.</x:v>
      </x:c>
      <x:c r="H147" s="23" t="str">
        <x:v>Clearance/cargo/survival relation</x:v>
      </x:c>
      <x:c r="I147" s="23" t="str">
        <x:v>Apoptosis</x:v>
      </x:c>
      <x:c r="J147" s="23" t="str">
        <x:v>Pro-survival signaling modifier: PI3K-gamma-generated PIP3 activates AKT and related survival pathways in leukocytes; inhibition or loss can sensitize selected cells to apoptosis.</x:v>
      </x:c>
      <x:c r="K147" s="23" t="str">
        <x:v>Phosphoinositide signaling; leukocyte migration</x:v>
      </x:c>
      <x:c r="L147" s="23" t="str">
        <x:v>PI3K-gamma catalytic subunit phosphorylates PIP2 to PIP3 downstream of GPCRs, recruiting AKT/GEF pathways in immune cells.</x:v>
      </x:c>
      <x:c r="M147" s="23" t="str">
        <x:v>High</x:v>
      </x:c>
      <x:c r="N147" s="23" t="str">
        <x:v>UNIPROT2025; REACTOME2024; NCCD2018</x:v>
      </x:c>
      <x:c r="O147" s="23" t="str">
        <x:v>https://www.informatics.jax.org/quicksearch/summary?queryType=exactPhrase&amp;query=Pik3cg</x:v>
      </x:c>
      <x:c r="P147" s="23" t="str">
        <x:v>https://www.uniprot.org/uniprotkb?query=%28gene_exact%3APik3cg%29+AND+%28organism_id%3A10090%29</x:v>
      </x:c>
      <x:c r="Q147" s="23" t="str">
        <x:v>https://www.ncbi.nlm.nih.gov/gene/?term=Pik3cg%5Bgene%5D%20AND%20Mus%20musculus%5Borgn%5D</x:v>
      </x:c>
      <x:c r="R147" s="23" t="str">
        <x:v>https://reactome.org/content/query?q=Pik3cg&amp;species=Mus%20musculus</x:v>
      </x:c>
      <x:c r="S147" s="23" t="str">
        <x:v>https://pubmed.ncbi.nlm.nih.gov/?term=(Pik3cg%5BTitle%2FAbstract%5D)%20AND%20(mouse%20OR%20murine)</x:v>
      </x:c>
      <x:c r="T147" s="23" t="str"/>
    </x:row>
    <x:row r="148">
      <x:c r="A148" s="22" t="n">
        <x:v>145</x:v>
      </x:c>
      <x:c r="B148" s="23" t="str">
        <x:v>Pirb</x:v>
      </x:c>
      <x:c r="C148" s="23" t="str">
        <x:v>LILRA1/2/3/4/6 and LILRB1/2/5</x:v>
      </x:c>
      <x:c r="D148" s="23" t="str">
        <x:v>One-to-many LILR orthology complex</x:v>
      </x:c>
      <x:c r="E148" s="23" t="str">
        <x:v>No curated metabolic role</x:v>
      </x:c>
      <x:c r="F148" s="23" t="str"/>
      <x:c r="G148" s="23" t="str"/>
      <x:c r="H148" s="23" t="str">
        <x:v>No curated cell-death relation</x:v>
      </x:c>
      <x:c r="I148" s="23" t="str"/>
      <x:c r="J148" s="23" t="str"/>
      <x:c r="K148" s="23" t="str">
        <x:v>Inhibitory immunoreceptor signaling</x:v>
      </x:c>
      <x:c r="L148" s="23" t="str">
        <x:v>Mouse ITIM-bearing paired Ig-like receptor binding MHC-I and other ligands; recruits SHP phosphatases to limit immune and neural signaling.</x:v>
      </x:c>
      <x:c r="M148" s="23" t="str">
        <x:v>High</x:v>
      </x:c>
      <x:c r="N148" s="23" t="str"/>
      <x:c r="O148" s="23" t="str">
        <x:v>https://www.informatics.jax.org/quicksearch/summary?queryType=exactPhrase&amp;query=Pirb</x:v>
      </x:c>
      <x:c r="P148" s="23" t="str">
        <x:v>https://www.uniprot.org/uniprotkb?query=%28gene_exact%3APirb%29+AND+%28organism_id%3A10090%29</x:v>
      </x:c>
      <x:c r="Q148" s="23" t="str">
        <x:v>https://www.ncbi.nlm.nih.gov/gene/?term=Pirb%5Bgene%5D%20AND%20Mus%20musculus%5Borgn%5D</x:v>
      </x:c>
      <x:c r="R148" s="23" t="str">
        <x:v>https://reactome.org/content/query?q=Pirb&amp;species=Mus%20musculus</x:v>
      </x:c>
      <x:c r="S148" s="23" t="str">
        <x:v>https://pubmed.ncbi.nlm.nih.gov/?term=(Pirb%5BTitle%2FAbstract%5D)%20AND%20(mouse%20OR%20murine)</x:v>
      </x:c>
      <x:c r="T148" s="23" t="str">
        <x:v>Orthology requires caution; No sufficiently supported metabolism or cell-death role curated</x:v>
      </x:c>
    </x:row>
    <x:row r="149">
      <x:c r="A149" s="22" t="n">
        <x:v>146</x:v>
      </x:c>
      <x:c r="B149" s="23" t="str">
        <x:v>Plau</x:v>
      </x:c>
      <x:c r="C149" s="23" t="str">
        <x:v>PLAU</x:v>
      </x:c>
      <x:c r="D149" s="23" t="str">
        <x:v>Conserved symbol; human ortholog</x:v>
      </x:c>
      <x:c r="E149" s="23" t="str">
        <x:v>Direct biochemical/transport role</x:v>
      </x:c>
      <x:c r="F149" s="23" t="str">
        <x:v>Protein turnover, processing and proteostasis: Plasminogen activation/fibrinolysis</x:v>
      </x:c>
      <x:c r="G149" s="23" t="str">
        <x:v>Cleaves plasminogen to plasmin, amplifying fibrin and extracellular-matrix proteolysis.</x:v>
      </x:c>
      <x:c r="H149" s="23" t="str">
        <x:v>No curated cell-death relation</x:v>
      </x:c>
      <x:c r="I149" s="23" t="str"/>
      <x:c r="J149" s="23" t="str"/>
      <x:c r="K149" s="23" t="str">
        <x:v>Pericellular proteolysis; fibrinolysis</x:v>
      </x:c>
      <x:c r="L149" s="23" t="str">
        <x:v>Urokinase converts plasminogen to plasmin at cell surfaces, enabling fibrinolysis, matrix remodeling and migration.</x:v>
      </x:c>
      <x:c r="M149" s="23" t="str">
        <x:v>High</x:v>
      </x:c>
      <x:c r="N149" s="23" t="str">
        <x:v>UNIPROT2025; REACTOME2024</x:v>
      </x:c>
      <x:c r="O149" s="23" t="str">
        <x:v>https://www.informatics.jax.org/quicksearch/summary?queryType=exactPhrase&amp;query=Plau</x:v>
      </x:c>
      <x:c r="P149" s="23" t="str">
        <x:v>https://www.uniprot.org/uniprotkb?query=%28gene_exact%3APlau%29+AND+%28organism_id%3A10090%29</x:v>
      </x:c>
      <x:c r="Q149" s="23" t="str">
        <x:v>https://www.ncbi.nlm.nih.gov/gene/?term=Plau%5Bgene%5D%20AND%20Mus%20musculus%5Borgn%5D</x:v>
      </x:c>
      <x:c r="R149" s="23" t="str">
        <x:v>https://reactome.org/content/query?q=Plau&amp;species=Mus%20musculus</x:v>
      </x:c>
      <x:c r="S149" s="23" t="str">
        <x:v>https://pubmed.ncbi.nlm.nih.gov/?term=(Plau%5BTitle%2FAbstract%5D)%20AND%20(mouse%20OR%20murine)</x:v>
      </x:c>
      <x:c r="T149" s="23" t="str"/>
    </x:row>
    <x:row r="150">
      <x:c r="A150" s="22" t="n">
        <x:v>147</x:v>
      </x:c>
      <x:c r="B150" s="23" t="str">
        <x:v>Plaur</x:v>
      </x:c>
      <x:c r="C150" s="23" t="str">
        <x:v>PLAUR</x:v>
      </x:c>
      <x:c r="D150" s="23" t="str">
        <x:v>Conserved symbol; human ortholog</x:v>
      </x:c>
      <x:c r="E150" s="23" t="str">
        <x:v>No curated metabolic role</x:v>
      </x:c>
      <x:c r="F150" s="23" t="str"/>
      <x:c r="G150" s="23" t="str"/>
      <x:c r="H150" s="23" t="str">
        <x:v>No curated cell-death relation</x:v>
      </x:c>
      <x:c r="I150" s="23" t="str"/>
      <x:c r="J150" s="23" t="str"/>
      <x:c r="K150" s="23" t="str">
        <x:v>Urokinase receptor; adhesion and proteolysis localization</x:v>
      </x:c>
      <x:c r="L150" s="23" t="str">
        <x:v>GPI-anchored receptor concentrating PLAU activity and integrating vitronectin/integrin signaling during migration and tissue remodeling.</x:v>
      </x:c>
      <x:c r="M150" s="23" t="str">
        <x:v>High</x:v>
      </x:c>
      <x:c r="N150" s="23" t="str"/>
      <x:c r="O150" s="23" t="str">
        <x:v>https://www.informatics.jax.org/quicksearch/summary?queryType=exactPhrase&amp;query=Plaur</x:v>
      </x:c>
      <x:c r="P150" s="23" t="str">
        <x:v>https://www.uniprot.org/uniprotkb?query=%28gene_exact%3APlaur%29+AND+%28organism_id%3A10090%29</x:v>
      </x:c>
      <x:c r="Q150" s="23" t="str">
        <x:v>https://www.ncbi.nlm.nih.gov/gene/?term=Plaur%5Bgene%5D%20AND%20Mus%20musculus%5Borgn%5D</x:v>
      </x:c>
      <x:c r="R150" s="23" t="str">
        <x:v>https://reactome.org/content/query?q=Plaur&amp;species=Mus%20musculus</x:v>
      </x:c>
      <x:c r="S150" s="23" t="str">
        <x:v>https://pubmed.ncbi.nlm.nih.gov/?term=(Plaur%5BTitle%2FAbstract%5D)%20AND%20(mouse%20OR%20murine)</x:v>
      </x:c>
      <x:c r="T150" s="23" t="str">
        <x:v>No sufficiently supported metabolism or cell-death role curated</x:v>
      </x:c>
    </x:row>
    <x:row r="151">
      <x:c r="A151" s="22" t="n">
        <x:v>148</x:v>
      </x:c>
      <x:c r="B151" s="23" t="str">
        <x:v>Plbd1</x:v>
      </x:c>
      <x:c r="C151" s="23" t="str">
        <x:v>PLBD1</x:v>
      </x:c>
      <x:c r="D151" s="23" t="str">
        <x:v>Conserved symbol; human ortholog</x:v>
      </x:c>
      <x:c r="E151" s="23" t="str">
        <x:v>Predicted/disputed metabolic relation</x:v>
      </x:c>
      <x:c r="F151" s="23" t="str">
        <x:v>Lipid, sterol and lipoprotein metabolism: Putative phospholipid hydrolysis</x:v>
      </x:c>
      <x:c r="G151" s="23" t="str">
        <x:v>Contains a phospholipase-B-like domain and may hydrolyze lipid substrates.</x:v>
      </x:c>
      <x:c r="H151" s="23" t="str">
        <x:v>No curated cell-death relation</x:v>
      </x:c>
      <x:c r="I151" s="23" t="str"/>
      <x:c r="J151" s="23" t="str"/>
      <x:c r="K151" s="23" t="str">
        <x:v>Putative lipid hydrolase; myeloid biology</x:v>
      </x:c>
      <x:c r="L151" s="23" t="str">
        <x:v>Secreted/lysosomal phospholipase-B-domain protein; biochemical substrate specificity and physiological lipid role remain poorly established.</x:v>
      </x:c>
      <x:c r="M151" s="23" t="str">
        <x:v>Low</x:v>
      </x:c>
      <x:c r="N151" s="23" t="str">
        <x:v>UNIPROT2025</x:v>
      </x:c>
      <x:c r="O151" s="23" t="str">
        <x:v>https://www.informatics.jax.org/quicksearch/summary?queryType=exactPhrase&amp;query=Plbd1</x:v>
      </x:c>
      <x:c r="P151" s="23" t="str">
        <x:v>https://www.uniprot.org/uniprotkb?query=%28gene_exact%3APlbd1%29+AND+%28organism_id%3A10090%29</x:v>
      </x:c>
      <x:c r="Q151" s="23" t="str">
        <x:v>https://www.ncbi.nlm.nih.gov/gene/?term=Plbd1%5Bgene%5D%20AND%20Mus%20musculus%5Borgn%5D</x:v>
      </x:c>
      <x:c r="R151" s="23" t="str">
        <x:v>https://reactome.org/content/query?q=Plbd1&amp;species=Mus%20musculus</x:v>
      </x:c>
      <x:c r="S151" s="23" t="str">
        <x:v>https://pubmed.ncbi.nlm.nih.gov/?term=(Plbd1%5BTitle%2FAbstract%5D)%20AND%20(mouse%20OR%20murine)</x:v>
      </x:c>
      <x:c r="T151" s="23" t="str">
        <x:v>Function is poorly characterized or mainly predicted</x:v>
      </x:c>
    </x:row>
    <x:row r="152">
      <x:c r="A152" s="22" t="n">
        <x:v>149</x:v>
      </x:c>
      <x:c r="B152" s="23" t="str">
        <x:v>Plcb2</x:v>
      </x:c>
      <x:c r="C152" s="23" t="str">
        <x:v>PLCB2</x:v>
      </x:c>
      <x:c r="D152" s="23" t="str">
        <x:v>Conserved symbol; human ortholog</x:v>
      </x:c>
      <x:c r="E152" s="23" t="str">
        <x:v>Direct biochemical/transport role</x:v>
      </x:c>
      <x:c r="F152" s="23" t="str">
        <x:v>Lipid, sterol and lipoprotein metabolism: PIP2 hydrolysis</x:v>
      </x:c>
      <x:c r="G152" s="23" t="str">
        <x:v>Hydrolyzes PIP2 into diacylglycerol and IP3, linking GPCR/immune-receptor signaling to PKC and Ca2+.</x:v>
      </x:c>
      <x:c r="H152" s="23" t="str">
        <x:v>No curated cell-death relation</x:v>
      </x:c>
      <x:c r="I152" s="23" t="str"/>
      <x:c r="J152" s="23" t="str"/>
      <x:c r="K152" s="23" t="str">
        <x:v>Phosphoinositide hydrolysis; calcium signaling</x:v>
      </x:c>
      <x:c r="L152" s="23" t="str">
        <x:v>PLC-beta2 hydrolyzes PIP2 to diacylglycerol and IP3 downstream of GPCRs, activating PKC and calcium signaling in hematopoietic cells.</x:v>
      </x:c>
      <x:c r="M152" s="23" t="str">
        <x:v>High</x:v>
      </x:c>
      <x:c r="N152" s="23" t="str">
        <x:v>UNIPROT2025; REACTOME2024</x:v>
      </x:c>
      <x:c r="O152" s="23" t="str">
        <x:v>https://www.informatics.jax.org/quicksearch/summary?queryType=exactPhrase&amp;query=Plcb2</x:v>
      </x:c>
      <x:c r="P152" s="23" t="str">
        <x:v>https://www.uniprot.org/uniprotkb?query=%28gene_exact%3APlcb2%29+AND+%28organism_id%3A10090%29</x:v>
      </x:c>
      <x:c r="Q152" s="23" t="str">
        <x:v>https://www.ncbi.nlm.nih.gov/gene/?term=Plcb2%5Bgene%5D%20AND%20Mus%20musculus%5Borgn%5D</x:v>
      </x:c>
      <x:c r="R152" s="23" t="str">
        <x:v>https://reactome.org/content/query?q=Plcb2&amp;species=Mus%20musculus</x:v>
      </x:c>
      <x:c r="S152" s="23" t="str">
        <x:v>https://pubmed.ncbi.nlm.nih.gov/?term=(Plcb2%5BTitle%2FAbstract%5D)%20AND%20(mouse%20OR%20murine)</x:v>
      </x:c>
      <x:c r="T152" s="23" t="str"/>
    </x:row>
    <x:row r="153">
      <x:c r="A153" s="22" t="n">
        <x:v>150</x:v>
      </x:c>
      <x:c r="B153" s="23" t="str">
        <x:v>Pld4</x:v>
      </x:c>
      <x:c r="C153" s="23" t="str">
        <x:v>PLD4</x:v>
      </x:c>
      <x:c r="D153" s="23" t="str">
        <x:v>Conserved symbol; human ortholog</x:v>
      </x:c>
      <x:c r="E153" s="23" t="str">
        <x:v>Direct biochemical/transport role</x:v>
      </x:c>
      <x:c r="F153" s="23" t="str">
        <x:v>Nucleotide and cofactor metabolism: Endolysosomal ssDNA/RNA degradation</x:v>
      </x:c>
      <x:c r="G153" s="23" t="str">
        <x:v>Degrades single-stranded nucleic acids from their 5-prime end in endolysosomes.</x:v>
      </x:c>
      <x:c r="H153" s="23" t="str">
        <x:v>No curated cell-death relation</x:v>
      </x:c>
      <x:c r="I153" s="23" t="str"/>
      <x:c r="J153" s="23" t="str"/>
      <x:c r="K153" s="23" t="str">
        <x:v>Endolysosomal nucleic-acid degradation</x:v>
      </x:c>
      <x:c r="L153" s="23" t="str">
        <x:v>Despite its name, PLD4 is a 5-prime exonuclease acting on single-stranded nucleic acids in endolysosomes; not an established phospholipase.</x:v>
      </x:c>
      <x:c r="M153" s="23" t="str">
        <x:v>High</x:v>
      </x:c>
      <x:c r="N153" s="23" t="str">
        <x:v>UNIPROT2025</x:v>
      </x:c>
      <x:c r="O153" s="23" t="str">
        <x:v>https://www.informatics.jax.org/quicksearch/summary?queryType=exactPhrase&amp;query=Pld4</x:v>
      </x:c>
      <x:c r="P153" s="23" t="str">
        <x:v>https://www.uniprot.org/uniprotkb?query=%28gene_exact%3APld4%29+AND+%28organism_id%3A10090%29</x:v>
      </x:c>
      <x:c r="Q153" s="23" t="str">
        <x:v>https://www.ncbi.nlm.nih.gov/gene/?term=Pld4%5Bgene%5D%20AND%20Mus%20musculus%5Borgn%5D</x:v>
      </x:c>
      <x:c r="R153" s="23" t="str">
        <x:v>https://reactome.org/content/query?q=Pld4&amp;species=Mus%20musculus</x:v>
      </x:c>
      <x:c r="S153" s="23" t="str">
        <x:v>https://pubmed.ncbi.nlm.nih.gov/?term=(Pld4%5BTitle%2FAbstract%5D)%20AND%20(mouse%20OR%20murine)</x:v>
      </x:c>
      <x:c r="T153" s="23" t="str"/>
    </x:row>
    <x:row r="154">
      <x:c r="A154" s="22" t="n">
        <x:v>151</x:v>
      </x:c>
      <x:c r="B154" s="23" t="str">
        <x:v>Prex1</x:v>
      </x:c>
      <x:c r="C154" s="23" t="str">
        <x:v>PREX1</x:v>
      </x:c>
      <x:c r="D154" s="23" t="str">
        <x:v>Conserved symbol; human ortholog</x:v>
      </x:c>
      <x:c r="E154" s="23" t="str">
        <x:v>No curated metabolic role</x:v>
      </x:c>
      <x:c r="F154" s="23" t="str"/>
      <x:c r="G154" s="23" t="str"/>
      <x:c r="H154" s="23" t="str">
        <x:v>No curated cell-death relation</x:v>
      </x:c>
      <x:c r="I154" s="23" t="str"/>
      <x:c r="J154" s="23" t="str"/>
      <x:c r="K154" s="23" t="str">
        <x:v>PIP3-dependent RAC activation</x:v>
      </x:c>
      <x:c r="L154" s="23" t="str">
        <x:v>RAC guanine-nucleotide exchange factor activated synergistically by PIP3 and G-beta-gamma, promoting chemotaxis and NOX2 activation.</x:v>
      </x:c>
      <x:c r="M154" s="23" t="str">
        <x:v>High</x:v>
      </x:c>
      <x:c r="N154" s="23" t="str"/>
      <x:c r="O154" s="23" t="str">
        <x:v>https://www.informatics.jax.org/quicksearch/summary?queryType=exactPhrase&amp;query=Prex1</x:v>
      </x:c>
      <x:c r="P154" s="23" t="str">
        <x:v>https://www.uniprot.org/uniprotkb?query=%28gene_exact%3APrex1%29+AND+%28organism_id%3A10090%29</x:v>
      </x:c>
      <x:c r="Q154" s="23" t="str">
        <x:v>https://www.ncbi.nlm.nih.gov/gene/?term=Prex1%5Bgene%5D%20AND%20Mus%20musculus%5Borgn%5D</x:v>
      </x:c>
      <x:c r="R154" s="23" t="str">
        <x:v>https://reactome.org/content/query?q=Prex1&amp;species=Mus%20musculus</x:v>
      </x:c>
      <x:c r="S154" s="23" t="str">
        <x:v>https://pubmed.ncbi.nlm.nih.gov/?term=(Prex1%5BTitle%2FAbstract%5D)%20AND%20(mouse%20OR%20murine)</x:v>
      </x:c>
      <x:c r="T154" s="23" t="str">
        <x:v>No sufficiently supported metabolism or cell-death role curated</x:v>
      </x:c>
    </x:row>
    <x:row r="155">
      <x:c r="A155" s="22" t="n">
        <x:v>152</x:v>
      </x:c>
      <x:c r="B155" s="23" t="str">
        <x:v>Prkcd</x:v>
      </x:c>
      <x:c r="C155" s="23" t="str">
        <x:v>PRKCD</x:v>
      </x:c>
      <x:c r="D155" s="23" t="str">
        <x:v>Conserved symbol; human ortholog</x:v>
      </x:c>
      <x:c r="E155" s="23" t="str">
        <x:v>No curated metabolic role</x:v>
      </x:c>
      <x:c r="F155" s="23" t="str"/>
      <x:c r="G155" s="23" t="str"/>
      <x:c r="H155" s="23" t="str">
        <x:v>Contextual cell-death modifier</x:v>
      </x:c>
      <x:c r="I155" s="23" t="str">
        <x:v>Intrinsic/extrinsic apoptosis</x:v>
      </x:c>
      <x:c r="J155" s="23" t="str">
        <x:v>Signal-transducing kinase: PRKCD can be activated/cleaved during genotoxic or receptor stress and phosphorylate substrates that promote BAX/BAK, caspase and nuclear death responses.</x:v>
      </x:c>
      <x:c r="K155" s="23" t="str">
        <x:v>DAG-responsive kinase; immune and death signaling</x:v>
      </x:c>
      <x:c r="L155" s="23" t="str">
        <x:v>Novel PKC isoform activated by diacylglycerol and phosphorylation; regulates apoptosis, proliferation, immune signaling and mitophagy in context-dependent directions.</x:v>
      </x:c>
      <x:c r="M155" s="23" t="str">
        <x:v>High</x:v>
      </x:c>
      <x:c r="N155" s="23" t="str">
        <x:v>PRKCD2003; NCCD2018</x:v>
      </x:c>
      <x:c r="O155" s="23" t="str">
        <x:v>https://www.informatics.jax.org/quicksearch/summary?queryType=exactPhrase&amp;query=Prkcd</x:v>
      </x:c>
      <x:c r="P155" s="23" t="str">
        <x:v>https://www.uniprot.org/uniprotkb?query=%28gene_exact%3APrkcd%29+AND+%28organism_id%3A10090%29</x:v>
      </x:c>
      <x:c r="Q155" s="23" t="str">
        <x:v>https://www.ncbi.nlm.nih.gov/gene/?term=Prkcd%5Bgene%5D%20AND%20Mus%20musculus%5Borgn%5D</x:v>
      </x:c>
      <x:c r="R155" s="23" t="str">
        <x:v>https://reactome.org/content/query?q=Prkcd&amp;species=Mus%20musculus</x:v>
      </x:c>
      <x:c r="S155" s="23" t="str">
        <x:v>https://pubmed.ncbi.nlm.nih.gov/?term=(Prkcd%5BTitle%2FAbstract%5D)%20AND%20(mouse%20OR%20murine)</x:v>
      </x:c>
      <x:c r="T155" s="23" t="str"/>
    </x:row>
    <x:row r="156">
      <x:c r="A156" s="22" t="n">
        <x:v>153</x:v>
      </x:c>
      <x:c r="B156" s="23" t="str">
        <x:v>Psap</x:v>
      </x:c>
      <x:c r="C156" s="23" t="str">
        <x:v>PSAP</x:v>
      </x:c>
      <x:c r="D156" s="23" t="str">
        <x:v>Conserved symbol; human ortholog</x:v>
      </x:c>
      <x:c r="E156" s="23" t="str">
        <x:v>Direct biochemical/transport role</x:v>
      </x:c>
      <x:c r="F156" s="23" t="str">
        <x:v>Lipid, sterol and lipoprotein metabolism: Lysosomal glycosphingolipid degradation</x:v>
      </x:c>
      <x:c r="G156" s="23" t="str">
        <x:v>Proteolytic processing yields saposins A-D, which present membrane sphingolipids to specific lysosomal hydrolases.</x:v>
      </x:c>
      <x:c r="H156" s="23" t="str">
        <x:v>No curated cell-death relation</x:v>
      </x:c>
      <x:c r="I156" s="23" t="str"/>
      <x:c r="J156" s="23" t="str"/>
      <x:c r="K156" s="23" t="str">
        <x:v>Lysosomal sphingolipid degradation; neurotrophic signaling</x:v>
      </x:c>
      <x:c r="L156" s="23" t="str">
        <x:v>Prosaposin precursor is cleaved into saposins A-D, essential cofactors for lysosomal glycosphingolipid hydrolases; secreted PSAP also has trophic actions.</x:v>
      </x:c>
      <x:c r="M156" s="23" t="str">
        <x:v>High</x:v>
      </x:c>
      <x:c r="N156" s="23" t="str">
        <x:v>PSAP2023; UNIPROT2025; REACTOME2024</x:v>
      </x:c>
      <x:c r="O156" s="23" t="str">
        <x:v>https://www.informatics.jax.org/quicksearch/summary?queryType=exactPhrase&amp;query=Psap</x:v>
      </x:c>
      <x:c r="P156" s="23" t="str">
        <x:v>https://www.uniprot.org/uniprotkb?query=%28gene_exact%3APsap%29+AND+%28organism_id%3A10090%29</x:v>
      </x:c>
      <x:c r="Q156" s="23" t="str">
        <x:v>https://www.ncbi.nlm.nih.gov/gene/?term=Psap%5Bgene%5D%20AND%20Mus%20musculus%5Borgn%5D</x:v>
      </x:c>
      <x:c r="R156" s="23" t="str">
        <x:v>https://reactome.org/content/query?q=Psap&amp;species=Mus%20musculus</x:v>
      </x:c>
      <x:c r="S156" s="23" t="str">
        <x:v>https://pubmed.ncbi.nlm.nih.gov/?term=(Psap%5BTitle%2FAbstract%5D)%20AND%20(mouse%20OR%20murine)</x:v>
      </x:c>
      <x:c r="T156" s="23" t="str"/>
    </x:row>
    <x:row r="157">
      <x:c r="A157" s="22" t="n">
        <x:v>154</x:v>
      </x:c>
      <x:c r="B157" s="23" t="str">
        <x:v>Psmb10</x:v>
      </x:c>
      <x:c r="C157" s="23" t="str">
        <x:v>PSMB10</x:v>
      </x:c>
      <x:c r="D157" s="23" t="str">
        <x:v>Conserved symbol; human ortholog</x:v>
      </x:c>
      <x:c r="E157" s="23" t="str">
        <x:v>Direct biochemical/transport role</x:v>
      </x:c>
      <x:c r="F157" s="23" t="str">
        <x:v>Protein turnover, processing and proteostasis: Immunoproteasomal proteolysis</x:v>
      </x:c>
      <x:c r="G157" s="23" t="str">
        <x:v>Beta2i catalytic subunit contributes trypsin-like cleavage and immune-adapted peptide production.</x:v>
      </x:c>
      <x:c r="H157" s="23" t="str">
        <x:v>No curated cell-death relation</x:v>
      </x:c>
      <x:c r="I157" s="23" t="str"/>
      <x:c r="J157" s="23" t="str"/>
      <x:c r="K157" s="23" t="str">
        <x:v>Immunoproteasome proteolysis</x:v>
      </x:c>
      <x:c r="L157" s="23" t="str">
        <x:v>Inducible beta2i immunoproteasome catalytic subunit shaping proteolysis and MHC-I peptide production during interferon responses.</x:v>
      </x:c>
      <x:c r="M157" s="23" t="str">
        <x:v>High</x:v>
      </x:c>
      <x:c r="N157" s="23" t="str">
        <x:v>UNIPROT2025; REACTOME2024</x:v>
      </x:c>
      <x:c r="O157" s="23" t="str">
        <x:v>https://www.informatics.jax.org/quicksearch/summary?queryType=exactPhrase&amp;query=Psmb10</x:v>
      </x:c>
      <x:c r="P157" s="23" t="str">
        <x:v>https://www.uniprot.org/uniprotkb?query=%28gene_exact%3APsmb10%29+AND+%28organism_id%3A10090%29</x:v>
      </x:c>
      <x:c r="Q157" s="23" t="str">
        <x:v>https://www.ncbi.nlm.nih.gov/gene/?term=Psmb10%5Bgene%5D%20AND%20Mus%20musculus%5Borgn%5D</x:v>
      </x:c>
      <x:c r="R157" s="23" t="str">
        <x:v>https://reactome.org/content/query?q=Psmb10&amp;species=Mus%20musculus</x:v>
      </x:c>
      <x:c r="S157" s="23" t="str">
        <x:v>https://pubmed.ncbi.nlm.nih.gov/?term=(Psmb10%5BTitle%2FAbstract%5D)%20AND%20(mouse%20OR%20murine)</x:v>
      </x:c>
      <x:c r="T157" s="23" t="str"/>
    </x:row>
    <x:row r="158">
      <x:c r="A158" s="22" t="n">
        <x:v>155</x:v>
      </x:c>
      <x:c r="B158" s="23" t="str">
        <x:v>Psmb8</x:v>
      </x:c>
      <x:c r="C158" s="23" t="str">
        <x:v>PSMB8</x:v>
      </x:c>
      <x:c r="D158" s="23" t="str">
        <x:v>Conserved symbol; human ortholog</x:v>
      </x:c>
      <x:c r="E158" s="23" t="str">
        <x:v>Direct biochemical/transport role</x:v>
      </x:c>
      <x:c r="F158" s="23" t="str">
        <x:v>Protein turnover, processing and proteostasis: Immunoproteasomal proteolysis</x:v>
      </x:c>
      <x:c r="G158" s="23" t="str">
        <x:v>Beta5i/LMP7 catalytic subunit changes chymotrypsin-like cleavage and MHC-I peptide production.</x:v>
      </x:c>
      <x:c r="H158" s="23" t="str">
        <x:v>No curated cell-death relation</x:v>
      </x:c>
      <x:c r="I158" s="23" t="str"/>
      <x:c r="J158" s="23" t="str"/>
      <x:c r="K158" s="23" t="str">
        <x:v>Immunoproteasome proteolysis</x:v>
      </x:c>
      <x:c r="L158" s="23" t="str">
        <x:v>Inducible beta5i/LMP7 catalytic subunit that changes proteasomal cleavage preferences and antigenic peptide generation.</x:v>
      </x:c>
      <x:c r="M158" s="23" t="str">
        <x:v>High</x:v>
      </x:c>
      <x:c r="N158" s="23" t="str">
        <x:v>UNIPROT2025; REACTOME2024</x:v>
      </x:c>
      <x:c r="O158" s="23" t="str">
        <x:v>https://www.informatics.jax.org/quicksearch/summary?queryType=exactPhrase&amp;query=Psmb8</x:v>
      </x:c>
      <x:c r="P158" s="23" t="str">
        <x:v>https://www.uniprot.org/uniprotkb?query=%28gene_exact%3APsmb8%29+AND+%28organism_id%3A10090%29</x:v>
      </x:c>
      <x:c r="Q158" s="23" t="str">
        <x:v>https://www.ncbi.nlm.nih.gov/gene/?term=Psmb8%5Bgene%5D%20AND%20Mus%20musculus%5Borgn%5D</x:v>
      </x:c>
      <x:c r="R158" s="23" t="str">
        <x:v>https://reactome.org/content/query?q=Psmb8&amp;species=Mus%20musculus</x:v>
      </x:c>
      <x:c r="S158" s="23" t="str">
        <x:v>https://pubmed.ncbi.nlm.nih.gov/?term=(Psmb8%5BTitle%2FAbstract%5D)%20AND%20(mouse%20OR%20murine)</x:v>
      </x:c>
      <x:c r="T158" s="23" t="str"/>
    </x:row>
    <x:row r="159">
      <x:c r="A159" s="22" t="n">
        <x:v>156</x:v>
      </x:c>
      <x:c r="B159" s="23" t="str">
        <x:v>Psmb9</x:v>
      </x:c>
      <x:c r="C159" s="23" t="str">
        <x:v>PSMB9</x:v>
      </x:c>
      <x:c r="D159" s="23" t="str">
        <x:v>Conserved symbol; human ortholog</x:v>
      </x:c>
      <x:c r="E159" s="23" t="str">
        <x:v>Direct biochemical/transport role</x:v>
      </x:c>
      <x:c r="F159" s="23" t="str">
        <x:v>Protein turnover, processing and proteostasis: Immunoproteasomal proteolysis</x:v>
      </x:c>
      <x:c r="G159" s="23" t="str">
        <x:v>Beta1i/LMP2 catalytic subunit alters proteasomal cleavage and antigenic-peptide generation.</x:v>
      </x:c>
      <x:c r="H159" s="23" t="str">
        <x:v>No curated cell-death relation</x:v>
      </x:c>
      <x:c r="I159" s="23" t="str"/>
      <x:c r="J159" s="23" t="str"/>
      <x:c r="K159" s="23" t="str">
        <x:v>Immunoproteasome proteolysis</x:v>
      </x:c>
      <x:c r="L159" s="23" t="str">
        <x:v>Inducible beta1i/LMP2 catalytic subunit contributing to protein degradation and MHC-I peptide generation.</x:v>
      </x:c>
      <x:c r="M159" s="23" t="str">
        <x:v>High</x:v>
      </x:c>
      <x:c r="N159" s="23" t="str">
        <x:v>UNIPROT2025; REACTOME2024</x:v>
      </x:c>
      <x:c r="O159" s="23" t="str">
        <x:v>https://www.informatics.jax.org/quicksearch/summary?queryType=exactPhrase&amp;query=Psmb9</x:v>
      </x:c>
      <x:c r="P159" s="23" t="str">
        <x:v>https://www.uniprot.org/uniprotkb?query=%28gene_exact%3APsmb9%29+AND+%28organism_id%3A10090%29</x:v>
      </x:c>
      <x:c r="Q159" s="23" t="str">
        <x:v>https://www.ncbi.nlm.nih.gov/gene/?term=Psmb9%5Bgene%5D%20AND%20Mus%20musculus%5Borgn%5D</x:v>
      </x:c>
      <x:c r="R159" s="23" t="str">
        <x:v>https://reactome.org/content/query?q=Psmb9&amp;species=Mus%20musculus</x:v>
      </x:c>
      <x:c r="S159" s="23" t="str">
        <x:v>https://pubmed.ncbi.nlm.nih.gov/?term=(Psmb9%5BTitle%2FAbstract%5D)%20AND%20(mouse%20OR%20murine)</x:v>
      </x:c>
      <x:c r="T159" s="23" t="str"/>
    </x:row>
    <x:row r="160">
      <x:c r="A160" s="22" t="n">
        <x:v>157</x:v>
      </x:c>
      <x:c r="B160" s="23" t="str">
        <x:v>Psmc3</x:v>
      </x:c>
      <x:c r="C160" s="23" t="str">
        <x:v>PSMC3</x:v>
      </x:c>
      <x:c r="D160" s="23" t="str">
        <x:v>Conserved symbol; human ortholog</x:v>
      </x:c>
      <x:c r="E160" s="23" t="str">
        <x:v>Direct biochemical/transport role</x:v>
      </x:c>
      <x:c r="F160" s="23" t="str">
        <x:v>Protein turnover, processing and proteostasis: ATP-dependent proteasomal degradation</x:v>
      </x:c>
      <x:c r="G160" s="23" t="str">
        <x:v>Uses ATP to unfold and translocate ubiquitylated substrates into the 20S proteolytic core.</x:v>
      </x:c>
      <x:c r="H160" s="23" t="str">
        <x:v>No curated cell-death relation</x:v>
      </x:c>
      <x:c r="I160" s="23" t="str"/>
      <x:c r="J160" s="23" t="str"/>
      <x:c r="K160" s="23" t="str">
        <x:v>26S proteasome ATPase</x:v>
      </x:c>
      <x:c r="L160" s="23" t="str">
        <x:v>AAA+ ATPase subunit of the 19S regulatory particle that unfolds and translocates ubiquitylated proteins into the 20S core.</x:v>
      </x:c>
      <x:c r="M160" s="23" t="str">
        <x:v>High</x:v>
      </x:c>
      <x:c r="N160" s="23" t="str">
        <x:v>UNIPROT2025; REACTOME2024</x:v>
      </x:c>
      <x:c r="O160" s="23" t="str">
        <x:v>https://www.informatics.jax.org/quicksearch/summary?queryType=exactPhrase&amp;query=Psmc3</x:v>
      </x:c>
      <x:c r="P160" s="23" t="str">
        <x:v>https://www.uniprot.org/uniprotkb?query=%28gene_exact%3APsmc3%29+AND+%28organism_id%3A10090%29</x:v>
      </x:c>
      <x:c r="Q160" s="23" t="str">
        <x:v>https://www.ncbi.nlm.nih.gov/gene/?term=Psmc3%5Bgene%5D%20AND%20Mus%20musculus%5Borgn%5D</x:v>
      </x:c>
      <x:c r="R160" s="23" t="str">
        <x:v>https://reactome.org/content/query?q=Psmc3&amp;species=Mus%20musculus</x:v>
      </x:c>
      <x:c r="S160" s="23" t="str">
        <x:v>https://pubmed.ncbi.nlm.nih.gov/?term=(Psmc3%5BTitle%2FAbstract%5D)%20AND%20(mouse%20OR%20murine)</x:v>
      </x:c>
      <x:c r="T160" s="23" t="str"/>
    </x:row>
    <x:row r="161">
      <x:c r="A161" s="22" t="n">
        <x:v>158</x:v>
      </x:c>
      <x:c r="B161" s="23" t="str">
        <x:v>Psme1</x:v>
      </x:c>
      <x:c r="C161" s="23" t="str">
        <x:v>PSME1</x:v>
      </x:c>
      <x:c r="D161" s="23" t="str">
        <x:v>Conserved symbol; human ortholog</x:v>
      </x:c>
      <x:c r="E161" s="23" t="str">
        <x:v>Direct biochemical/transport role</x:v>
      </x:c>
      <x:c r="F161" s="23" t="str">
        <x:v>Protein turnover, processing and proteostasis: PA28 proteasome activation</x:v>
      </x:c>
      <x:c r="G161" s="23" t="str">
        <x:v>PA28alpha-containing rings open/activate 20S proteasomes and alter peptide-product generation.</x:v>
      </x:c>
      <x:c r="H161" s="23" t="str">
        <x:v>No curated cell-death relation</x:v>
      </x:c>
      <x:c r="I161" s="23" t="str"/>
      <x:c r="J161" s="23" t="str"/>
      <x:c r="K161" s="23" t="str">
        <x:v>Proteasome activation; antigen processing</x:v>
      </x:c>
      <x:c r="L161" s="23" t="str">
        <x:v>PA28alpha proteasome activator subunit induced by interferon and involved in altered peptide generation/proteostasis.</x:v>
      </x:c>
      <x:c r="M161" s="23" t="str">
        <x:v>High</x:v>
      </x:c>
      <x:c r="N161" s="23" t="str">
        <x:v>UNIPROT2025; REACTOME2024</x:v>
      </x:c>
      <x:c r="O161" s="23" t="str">
        <x:v>https://www.informatics.jax.org/quicksearch/summary?queryType=exactPhrase&amp;query=Psme1</x:v>
      </x:c>
      <x:c r="P161" s="23" t="str">
        <x:v>https://www.uniprot.org/uniprotkb?query=%28gene_exact%3APsme1%29+AND+%28organism_id%3A10090%29</x:v>
      </x:c>
      <x:c r="Q161" s="23" t="str">
        <x:v>https://www.ncbi.nlm.nih.gov/gene/?term=Psme1%5Bgene%5D%20AND%20Mus%20musculus%5Borgn%5D</x:v>
      </x:c>
      <x:c r="R161" s="23" t="str">
        <x:v>https://reactome.org/content/query?q=Psme1&amp;species=Mus%20musculus</x:v>
      </x:c>
      <x:c r="S161" s="23" t="str">
        <x:v>https://pubmed.ncbi.nlm.nih.gov/?term=(Psme1%5BTitle%2FAbstract%5D)%20AND%20(mouse%20OR%20murine)</x:v>
      </x:c>
      <x:c r="T161" s="23" t="str"/>
    </x:row>
    <x:row r="162">
      <x:c r="A162" s="22" t="n">
        <x:v>159</x:v>
      </x:c>
      <x:c r="B162" s="23" t="str">
        <x:v>Ptafr</x:v>
      </x:c>
      <x:c r="C162" s="23" t="str">
        <x:v>PTAFR</x:v>
      </x:c>
      <x:c r="D162" s="23" t="str">
        <x:v>Conserved symbol; human ortholog</x:v>
      </x:c>
      <x:c r="E162" s="23" t="str">
        <x:v>No curated metabolic role</x:v>
      </x:c>
      <x:c r="F162" s="23" t="str"/>
      <x:c r="G162" s="23" t="str"/>
      <x:c r="H162" s="23" t="str">
        <x:v>No curated cell-death relation</x:v>
      </x:c>
      <x:c r="I162" s="23" t="str"/>
      <x:c r="J162" s="23" t="str"/>
      <x:c r="K162" s="23" t="str">
        <x:v>Platelet-activating-factor signaling</x:v>
      </x:c>
      <x:c r="L162" s="23" t="str">
        <x:v>GPCR for the phospholipid mediator PAF, activating inflammatory, chemotactic and vascular responses.</x:v>
      </x:c>
      <x:c r="M162" s="23" t="str">
        <x:v>High</x:v>
      </x:c>
      <x:c r="N162" s="23" t="str"/>
      <x:c r="O162" s="23" t="str">
        <x:v>https://www.informatics.jax.org/quicksearch/summary?queryType=exactPhrase&amp;query=Ptafr</x:v>
      </x:c>
      <x:c r="P162" s="23" t="str">
        <x:v>https://www.uniprot.org/uniprotkb?query=%28gene_exact%3APtafr%29+AND+%28organism_id%3A10090%29</x:v>
      </x:c>
      <x:c r="Q162" s="23" t="str">
        <x:v>https://www.ncbi.nlm.nih.gov/gene/?term=Ptafr%5Bgene%5D%20AND%20Mus%20musculus%5Borgn%5D</x:v>
      </x:c>
      <x:c r="R162" s="23" t="str">
        <x:v>https://reactome.org/content/query?q=Ptafr&amp;species=Mus%20musculus</x:v>
      </x:c>
      <x:c r="S162" s="23" t="str">
        <x:v>https://pubmed.ncbi.nlm.nih.gov/?term=(Ptafr%5BTitle%2FAbstract%5D)%20AND%20(mouse%20OR%20murine)</x:v>
      </x:c>
      <x:c r="T162" s="23" t="str">
        <x:v>No sufficiently supported metabolism or cell-death role curated</x:v>
      </x:c>
    </x:row>
    <x:row r="163">
      <x:c r="A163" s="22" t="n">
        <x:v>160</x:v>
      </x:c>
      <x:c r="B163" s="23" t="str">
        <x:v>Ptger4</x:v>
      </x:c>
      <x:c r="C163" s="23" t="str">
        <x:v>PTGER4</x:v>
      </x:c>
      <x:c r="D163" s="23" t="str">
        <x:v>Conserved symbol; human ortholog</x:v>
      </x:c>
      <x:c r="E163" s="23" t="str">
        <x:v>No curated metabolic role</x:v>
      </x:c>
      <x:c r="F163" s="23" t="str"/>
      <x:c r="G163" s="23" t="str"/>
      <x:c r="H163" s="23" t="str">
        <x:v>No curated cell-death relation</x:v>
      </x:c>
      <x:c r="I163" s="23" t="str"/>
      <x:c r="J163" s="23" t="str"/>
      <x:c r="K163" s="23" t="str">
        <x:v>Prostaglandin E2 signaling</x:v>
      </x:c>
      <x:c r="L163" s="23" t="str">
        <x:v>Gs-coupled EP4 receptor for PGE2, increasing cAMP and regulating inflammation, vascular tone, bone and immune-cell behavior.</x:v>
      </x:c>
      <x:c r="M163" s="23" t="str">
        <x:v>High</x:v>
      </x:c>
      <x:c r="N163" s="23" t="str"/>
      <x:c r="O163" s="23" t="str">
        <x:v>https://www.informatics.jax.org/quicksearch/summary?queryType=exactPhrase&amp;query=Ptger4</x:v>
      </x:c>
      <x:c r="P163" s="23" t="str">
        <x:v>https://www.uniprot.org/uniprotkb?query=%28gene_exact%3APtger4%29+AND+%28organism_id%3A10090%29</x:v>
      </x:c>
      <x:c r="Q163" s="23" t="str">
        <x:v>https://www.ncbi.nlm.nih.gov/gene/?term=Ptger4%5Bgene%5D%20AND%20Mus%20musculus%5Borgn%5D</x:v>
      </x:c>
      <x:c r="R163" s="23" t="str">
        <x:v>https://reactome.org/content/query?q=Ptger4&amp;species=Mus%20musculus</x:v>
      </x:c>
      <x:c r="S163" s="23" t="str">
        <x:v>https://pubmed.ncbi.nlm.nih.gov/?term=(Ptger4%5BTitle%2FAbstract%5D)%20AND%20(mouse%20OR%20murine)</x:v>
      </x:c>
      <x:c r="T163" s="23" t="str">
        <x:v>No sufficiently supported metabolism or cell-death role curated</x:v>
      </x:c>
    </x:row>
    <x:row r="164">
      <x:c r="A164" s="22" t="n">
        <x:v>161</x:v>
      </x:c>
      <x:c r="B164" s="23" t="str">
        <x:v>Ptpn6</x:v>
      </x:c>
      <x:c r="C164" s="23" t="str">
        <x:v>PTPN6</x:v>
      </x:c>
      <x:c r="D164" s="23" t="str">
        <x:v>Conserved symbol; human ortholog</x:v>
      </x:c>
      <x:c r="E164" s="23" t="str">
        <x:v>No curated metabolic role</x:v>
      </x:c>
      <x:c r="F164" s="23" t="str"/>
      <x:c r="G164" s="23" t="str"/>
      <x:c r="H164" s="23" t="str">
        <x:v>No curated cell-death relation</x:v>
      </x:c>
      <x:c r="I164" s="23" t="str"/>
      <x:c r="J164" s="23" t="str"/>
      <x:c r="K164" s="23" t="str">
        <x:v>Inhibitory phosphatase signaling</x:v>
      </x:c>
      <x:c r="L164" s="23" t="str">
        <x:v>SHP-1 tyrosine phosphatase recruited by ITIM receptors and cytokine pathways to restrain activation in hematopoietic cells.</x:v>
      </x:c>
      <x:c r="M164" s="23" t="str">
        <x:v>High</x:v>
      </x:c>
      <x:c r="N164" s="23" t="str"/>
      <x:c r="O164" s="23" t="str">
        <x:v>https://www.informatics.jax.org/quicksearch/summary?queryType=exactPhrase&amp;query=Ptpn6</x:v>
      </x:c>
      <x:c r="P164" s="23" t="str">
        <x:v>https://www.uniprot.org/uniprotkb?query=%28gene_exact%3APtpn6%29+AND+%28organism_id%3A10090%29</x:v>
      </x:c>
      <x:c r="Q164" s="23" t="str">
        <x:v>https://www.ncbi.nlm.nih.gov/gene/?term=Ptpn6%5Bgene%5D%20AND%20Mus%20musculus%5Borgn%5D</x:v>
      </x:c>
      <x:c r="R164" s="23" t="str">
        <x:v>https://reactome.org/content/query?q=Ptpn6&amp;species=Mus%20musculus</x:v>
      </x:c>
      <x:c r="S164" s="23" t="str">
        <x:v>https://pubmed.ncbi.nlm.nih.gov/?term=(Ptpn6%5BTitle%2FAbstract%5D)%20AND%20(mouse%20OR%20murine)</x:v>
      </x:c>
      <x:c r="T164" s="23" t="str">
        <x:v>No sufficiently supported metabolism or cell-death role curated</x:v>
      </x:c>
    </x:row>
    <x:row r="165">
      <x:c r="A165" s="22" t="n">
        <x:v>162</x:v>
      </x:c>
      <x:c r="B165" s="23" t="str">
        <x:v>Ptprf</x:v>
      </x:c>
      <x:c r="C165" s="23" t="str">
        <x:v>PTPRF</x:v>
      </x:c>
      <x:c r="D165" s="23" t="str">
        <x:v>Conserved symbol; human ortholog</x:v>
      </x:c>
      <x:c r="E165" s="23" t="str">
        <x:v>No curated metabolic role</x:v>
      </x:c>
      <x:c r="F165" s="23" t="str"/>
      <x:c r="G165" s="23" t="str"/>
      <x:c r="H165" s="23" t="str">
        <x:v>No curated cell-death relation</x:v>
      </x:c>
      <x:c r="I165" s="23" t="str"/>
      <x:c r="J165" s="23" t="str"/>
      <x:c r="K165" s="23" t="str">
        <x:v>Receptor phosphatase; adhesion</x:v>
      </x:c>
      <x:c r="L165" s="23" t="str">
        <x:v>LAR-family receptor tyrosine phosphatase regulating adhesion, cytoskeleton, growth-factor and insulin-receptor signaling.</x:v>
      </x:c>
      <x:c r="M165" s="23" t="str">
        <x:v>High</x:v>
      </x:c>
      <x:c r="N165" s="23" t="str"/>
      <x:c r="O165" s="23" t="str">
        <x:v>https://www.informatics.jax.org/quicksearch/summary?queryType=exactPhrase&amp;query=Ptprf</x:v>
      </x:c>
      <x:c r="P165" s="23" t="str">
        <x:v>https://www.uniprot.org/uniprotkb?query=%28gene_exact%3APtprf%29+AND+%28organism_id%3A10090%29</x:v>
      </x:c>
      <x:c r="Q165" s="23" t="str">
        <x:v>https://www.ncbi.nlm.nih.gov/gene/?term=Ptprf%5Bgene%5D%20AND%20Mus%20musculus%5Borgn%5D</x:v>
      </x:c>
      <x:c r="R165" s="23" t="str">
        <x:v>https://reactome.org/content/query?q=Ptprf&amp;species=Mus%20musculus</x:v>
      </x:c>
      <x:c r="S165" s="23" t="str">
        <x:v>https://pubmed.ncbi.nlm.nih.gov/?term=(Ptprf%5BTitle%2FAbstract%5D)%20AND%20(mouse%20OR%20murine)</x:v>
      </x:c>
      <x:c r="T165" s="23" t="str">
        <x:v>No sufficiently supported metabolism or cell-death role curated</x:v>
      </x:c>
    </x:row>
    <x:row r="166">
      <x:c r="A166" s="22" t="n">
        <x:v>163</x:v>
      </x:c>
      <x:c r="B166" s="23" t="str">
        <x:v>Rac2</x:v>
      </x:c>
      <x:c r="C166" s="23" t="str">
        <x:v>RAC2</x:v>
      </x:c>
      <x:c r="D166" s="23" t="str">
        <x:v>Conserved symbol; human ortholog</x:v>
      </x:c>
      <x:c r="E166" s="23" t="str">
        <x:v>Direct biochemical/transport role</x:v>
      </x:c>
      <x:c r="F166" s="23" t="str">
        <x:v>Redox metabolism: NOX2 respiratory burst</x:v>
      </x:c>
      <x:c r="G166" s="23" t="str">
        <x:v>GTP-bound RAC2 binds/activates the assembled phagocyte NADPH oxidase, coupling receptor signaling to superoxide production.</x:v>
      </x:c>
      <x:c r="H166" s="23" t="str">
        <x:v>Contextual cell-death modifier</x:v>
      </x:c>
      <x:c r="I166" s="23" t="str">
        <x:v>Oxidative cell injury / NET formation</x:v>
      </x:c>
      <x:c r="J166" s="23" t="str">
        <x:v>NOX2 and cytoskeleton modifier: RAC2 activates NOX2 and actin programs, enabling ROS-dependent antimicrobial responses and some NET/death phenotypes.</x:v>
      </x:c>
      <x:c r="K166" s="23" t="str">
        <x:v>RHO-family GTPase; chemotaxis and oxidase activation</x:v>
      </x:c>
      <x:c r="L166" s="23" t="str">
        <x:v>Hematopoietic RAC GTPase controlling actin remodeling and directly activating the phagocyte NOX2 complex.</x:v>
      </x:c>
      <x:c r="M166" s="23" t="str">
        <x:v>High</x:v>
      </x:c>
      <x:c r="N166" s="23" t="str">
        <x:v>NOX2_2010; UNIPROT2025; NCCD2018</x:v>
      </x:c>
      <x:c r="O166" s="23" t="str">
        <x:v>https://www.informatics.jax.org/quicksearch/summary?queryType=exactPhrase&amp;query=Rac2</x:v>
      </x:c>
      <x:c r="P166" s="23" t="str">
        <x:v>https://www.uniprot.org/uniprotkb?query=%28gene_exact%3ARac2%29+AND+%28organism_id%3A10090%29</x:v>
      </x:c>
      <x:c r="Q166" s="23" t="str">
        <x:v>https://www.ncbi.nlm.nih.gov/gene/?term=Rac2%5Bgene%5D%20AND%20Mus%20musculus%5Borgn%5D</x:v>
      </x:c>
      <x:c r="R166" s="23" t="str">
        <x:v>https://reactome.org/content/query?q=Rac2&amp;species=Mus%20musculus</x:v>
      </x:c>
      <x:c r="S166" s="23" t="str">
        <x:v>https://pubmed.ncbi.nlm.nih.gov/?term=(Rac2%5BTitle%2FAbstract%5D)%20AND%20(mouse%20OR%20murine)</x:v>
      </x:c>
      <x:c r="T166" s="23" t="str"/>
    </x:row>
    <x:row r="167">
      <x:c r="A167" s="22" t="n">
        <x:v>164</x:v>
      </x:c>
      <x:c r="B167" s="23" t="str">
        <x:v>Rasal3</x:v>
      </x:c>
      <x:c r="C167" s="23" t="str">
        <x:v>RASAL3</x:v>
      </x:c>
      <x:c r="D167" s="23" t="str">
        <x:v>Conserved symbol; human ortholog</x:v>
      </x:c>
      <x:c r="E167" s="23" t="str">
        <x:v>No curated metabolic role</x:v>
      </x:c>
      <x:c r="F167" s="23" t="str"/>
      <x:c r="G167" s="23" t="str"/>
      <x:c r="H167" s="23" t="str">
        <x:v>No curated cell-death relation</x:v>
      </x:c>
      <x:c r="I167" s="23" t="str"/>
      <x:c r="J167" s="23" t="str"/>
      <x:c r="K167" s="23" t="str">
        <x:v>RAS signal termination</x:v>
      </x:c>
      <x:c r="L167" s="23" t="str">
        <x:v>RAS GTPase-activating protein enriched in lymphocytes, limiting RAS-MAPK signaling and supporting immune-cell homeostasis.</x:v>
      </x:c>
      <x:c r="M167" s="23" t="str">
        <x:v>Moderate</x:v>
      </x:c>
      <x:c r="N167" s="23" t="str"/>
      <x:c r="O167" s="23" t="str">
        <x:v>https://www.informatics.jax.org/quicksearch/summary?queryType=exactPhrase&amp;query=Rasal3</x:v>
      </x:c>
      <x:c r="P167" s="23" t="str">
        <x:v>https://www.uniprot.org/uniprotkb?query=%28gene_exact%3ARasal3%29+AND+%28organism_id%3A10090%29</x:v>
      </x:c>
      <x:c r="Q167" s="23" t="str">
        <x:v>https://www.ncbi.nlm.nih.gov/gene/?term=Rasal3%5Bgene%5D%20AND%20Mus%20musculus%5Borgn%5D</x:v>
      </x:c>
      <x:c r="R167" s="23" t="str">
        <x:v>https://reactome.org/content/query?q=Rasal3&amp;species=Mus%20musculus</x:v>
      </x:c>
      <x:c r="S167" s="23" t="str">
        <x:v>https://pubmed.ncbi.nlm.nih.gov/?term=(Rasal3%5BTitle%2FAbstract%5D)%20AND%20(mouse%20OR%20murine)</x:v>
      </x:c>
      <x:c r="T167" s="23" t="str">
        <x:v>No sufficiently supported metabolism or cell-death role curated</x:v>
      </x:c>
    </x:row>
    <x:row r="168">
      <x:c r="A168" s="22" t="n">
        <x:v>165</x:v>
      </x:c>
      <x:c r="B168" s="23" t="str">
        <x:v>Rcsd1</x:v>
      </x:c>
      <x:c r="C168" s="23" t="str">
        <x:v>RCSD1</x:v>
      </x:c>
      <x:c r="D168" s="23" t="str">
        <x:v>Conserved symbol; human ortholog</x:v>
      </x:c>
      <x:c r="E168" s="23" t="str">
        <x:v>No curated metabolic role</x:v>
      </x:c>
      <x:c r="F168" s="23" t="str"/>
      <x:c r="G168" s="23" t="str"/>
      <x:c r="H168" s="23" t="str">
        <x:v>No curated cell-death relation</x:v>
      </x:c>
      <x:c r="I168" s="23" t="str"/>
      <x:c r="J168" s="23" t="str"/>
      <x:c r="K168" s="23" t="str">
        <x:v>Actin cytoskeleton</x:v>
      </x:c>
      <x:c r="L168" s="23" t="str">
        <x:v>CapZ-interacting phosphoprotein (CapZIP) that modulates actin filament capping and cytoskeletal responses.</x:v>
      </x:c>
      <x:c r="M168" s="23" t="str">
        <x:v>Moderate</x:v>
      </x:c>
      <x:c r="N168" s="23" t="str"/>
      <x:c r="O168" s="23" t="str">
        <x:v>https://www.informatics.jax.org/quicksearch/summary?queryType=exactPhrase&amp;query=Rcsd1</x:v>
      </x:c>
      <x:c r="P168" s="23" t="str">
        <x:v>https://www.uniprot.org/uniprotkb?query=%28gene_exact%3ARcsd1%29+AND+%28organism_id%3A10090%29</x:v>
      </x:c>
      <x:c r="Q168" s="23" t="str">
        <x:v>https://www.ncbi.nlm.nih.gov/gene/?term=Rcsd1%5Bgene%5D%20AND%20Mus%20musculus%5Borgn%5D</x:v>
      </x:c>
      <x:c r="R168" s="23" t="str">
        <x:v>https://reactome.org/content/query?q=Rcsd1&amp;species=Mus%20musculus</x:v>
      </x:c>
      <x:c r="S168" s="23" t="str">
        <x:v>https://pubmed.ncbi.nlm.nih.gov/?term=(Rcsd1%5BTitle%2FAbstract%5D)%20AND%20(mouse%20OR%20murine)</x:v>
      </x:c>
      <x:c r="T168" s="23" t="str">
        <x:v>No sufficiently supported metabolism or cell-death role curated</x:v>
      </x:c>
    </x:row>
    <x:row r="169">
      <x:c r="A169" s="22" t="n">
        <x:v>166</x:v>
      </x:c>
      <x:c r="B169" s="23" t="str">
        <x:v>Rest</x:v>
      </x:c>
      <x:c r="C169" s="23" t="str">
        <x:v>REST</x:v>
      </x:c>
      <x:c r="D169" s="23" t="str">
        <x:v>Conserved symbol; human ortholog</x:v>
      </x:c>
      <x:c r="E169" s="23" t="str">
        <x:v>No curated metabolic role</x:v>
      </x:c>
      <x:c r="F169" s="23" t="str"/>
      <x:c r="G169" s="23" t="str"/>
      <x:c r="H169" s="23" t="str">
        <x:v>No curated cell-death relation</x:v>
      </x:c>
      <x:c r="I169" s="23" t="str"/>
      <x:c r="J169" s="23" t="str"/>
      <x:c r="K169" s="23" t="str">
        <x:v>Transcriptional repression; neuronal identity</x:v>
      </x:c>
      <x:c r="L169" s="23" t="str">
        <x:v>RE1-silencing transcription factor recruits chromatin repressors to neuronal genes and influences differentiation, stress and survival programs.</x:v>
      </x:c>
      <x:c r="M169" s="23" t="str">
        <x:v>High</x:v>
      </x:c>
      <x:c r="N169" s="23" t="str"/>
      <x:c r="O169" s="23" t="str">
        <x:v>https://www.informatics.jax.org/quicksearch/summary?queryType=exactPhrase&amp;query=Rest</x:v>
      </x:c>
      <x:c r="P169" s="23" t="str">
        <x:v>https://www.uniprot.org/uniprotkb?query=%28gene_exact%3ARest%29+AND+%28organism_id%3A10090%29</x:v>
      </x:c>
      <x:c r="Q169" s="23" t="str">
        <x:v>https://www.ncbi.nlm.nih.gov/gene/?term=Rest%5Bgene%5D%20AND%20Mus%20musculus%5Borgn%5D</x:v>
      </x:c>
      <x:c r="R169" s="23" t="str">
        <x:v>https://reactome.org/content/query?q=Rest&amp;species=Mus%20musculus</x:v>
      </x:c>
      <x:c r="S169" s="23" t="str">
        <x:v>https://pubmed.ncbi.nlm.nih.gov/?term=(Rest%5BTitle%2FAbstract%5D)%20AND%20(mouse%20OR%20murine)</x:v>
      </x:c>
      <x:c r="T169" s="23" t="str">
        <x:v>No sufficiently supported metabolism or cell-death role curated</x:v>
      </x:c>
    </x:row>
    <x:row r="170">
      <x:c r="A170" s="22" t="n">
        <x:v>167</x:v>
      </x:c>
      <x:c r="B170" s="23" t="str">
        <x:v>Retnlg</x:v>
      </x:c>
      <x:c r="C170" s="23" t="str">
        <x:v>RETN (family analog)</x:v>
      </x:c>
      <x:c r="D170" s="23" t="str">
        <x:v>Mouse resistin-like paralog; no strict one-to-one mapping</x:v>
      </x:c>
      <x:c r="E170" s="23" t="str">
        <x:v>Predicted/disputed metabolic relation</x:v>
      </x:c>
      <x:c r="F170" s="23" t="str">
        <x:v>Metabolic regulation and nutrient sensing: Resistin-family inflammatory/metabolic signaling</x:v>
      </x:c>
      <x:c r="G170" s="23" t="str">
        <x:v>Associated with granulocyte inflammatory states and reported systemic metabolic phenotypes in mice.</x:v>
      </x:c>
      <x:c r="H170" s="23" t="str">
        <x:v>No curated cell-death relation</x:v>
      </x:c>
      <x:c r="I170" s="23" t="str"/>
      <x:c r="J170" s="23" t="str"/>
      <x:c r="K170" s="23" t="str">
        <x:v>Neutrophil secretory program; resistin-like signaling</x:v>
      </x:c>
      <x:c r="L170" s="23" t="str">
        <x:v>Mouse resistin-like gamma, enriched in granulocytes; linked to inflammatory and metabolic phenotypes, but receptor/mechanism and human translation are limited.</x:v>
      </x:c>
      <x:c r="M170" s="23" t="str">
        <x:v>Low</x:v>
      </x:c>
      <x:c r="N170" s="23" t="str">
        <x:v>MGI2020</x:v>
      </x:c>
      <x:c r="O170" s="23" t="str">
        <x:v>https://www.informatics.jax.org/quicksearch/summary?queryType=exactPhrase&amp;query=Retnlg</x:v>
      </x:c>
      <x:c r="P170" s="23" t="str">
        <x:v>https://www.uniprot.org/uniprotkb?query=%28gene_exact%3ARetnlg%29+AND+%28organism_id%3A10090%29</x:v>
      </x:c>
      <x:c r="Q170" s="23" t="str">
        <x:v>https://www.ncbi.nlm.nih.gov/gene/?term=Retnlg%5Bgene%5D%20AND%20Mus%20musculus%5Borgn%5D</x:v>
      </x:c>
      <x:c r="R170" s="23" t="str">
        <x:v>https://reactome.org/content/query?q=Retnlg&amp;species=Mus%20musculus</x:v>
      </x:c>
      <x:c r="S170" s="23" t="str">
        <x:v>https://pubmed.ncbi.nlm.nih.gov/?term=(Retnlg%5BTitle%2FAbstract%5D)%20AND%20(mouse%20OR%20murine)</x:v>
      </x:c>
      <x:c r="T170" s="23" t="str">
        <x:v>Orthology requires caution; Function is poorly characterized or mainly predicted</x:v>
      </x:c>
    </x:row>
    <x:row r="171">
      <x:c r="A171" s="22" t="n">
        <x:v>168</x:v>
      </x:c>
      <x:c r="B171" s="23" t="str">
        <x:v>Rgs1</x:v>
      </x:c>
      <x:c r="C171" s="23" t="str">
        <x:v>RGS1</x:v>
      </x:c>
      <x:c r="D171" s="23" t="str">
        <x:v>Conserved symbol; human ortholog</x:v>
      </x:c>
      <x:c r="E171" s="23" t="str">
        <x:v>No curated metabolic role</x:v>
      </x:c>
      <x:c r="F171" s="23" t="str"/>
      <x:c r="G171" s="23" t="str"/>
      <x:c r="H171" s="23" t="str">
        <x:v>No curated cell-death relation</x:v>
      </x:c>
      <x:c r="I171" s="23" t="str"/>
      <x:c r="J171" s="23" t="str"/>
      <x:c r="K171" s="23" t="str">
        <x:v>GPCR signal termination</x:v>
      </x:c>
      <x:c r="L171" s="23" t="str">
        <x:v>Regulator of G-protein signaling accelerating G-alpha-i GTP hydrolysis and limiting chemokine-receptor signaling.</x:v>
      </x:c>
      <x:c r="M171" s="23" t="str">
        <x:v>High</x:v>
      </x:c>
      <x:c r="N171" s="23" t="str"/>
      <x:c r="O171" s="23" t="str">
        <x:v>https://www.informatics.jax.org/quicksearch/summary?queryType=exactPhrase&amp;query=Rgs1</x:v>
      </x:c>
      <x:c r="P171" s="23" t="str">
        <x:v>https://www.uniprot.org/uniprotkb?query=%28gene_exact%3ARgs1%29+AND+%28organism_id%3A10090%29</x:v>
      </x:c>
      <x:c r="Q171" s="23" t="str">
        <x:v>https://www.ncbi.nlm.nih.gov/gene/?term=Rgs1%5Bgene%5D%20AND%20Mus%20musculus%5Borgn%5D</x:v>
      </x:c>
      <x:c r="R171" s="23" t="str">
        <x:v>https://reactome.org/content/query?q=Rgs1&amp;species=Mus%20musculus</x:v>
      </x:c>
      <x:c r="S171" s="23" t="str">
        <x:v>https://pubmed.ncbi.nlm.nih.gov/?term=(Rgs1%5BTitle%2FAbstract%5D)%20AND%20(mouse%20OR%20murine)</x:v>
      </x:c>
      <x:c r="T171" s="23" t="str">
        <x:v>No sufficiently supported metabolism or cell-death role curated</x:v>
      </x:c>
    </x:row>
    <x:row r="172">
      <x:c r="A172" s="22" t="n">
        <x:v>169</x:v>
      </x:c>
      <x:c r="B172" s="23" t="str">
        <x:v>Rhoh</x:v>
      </x:c>
      <x:c r="C172" s="23" t="str">
        <x:v>RHOH</x:v>
      </x:c>
      <x:c r="D172" s="23" t="str">
        <x:v>Conserved symbol; human ortholog</x:v>
      </x:c>
      <x:c r="E172" s="23" t="str">
        <x:v>No curated metabolic role</x:v>
      </x:c>
      <x:c r="F172" s="23" t="str"/>
      <x:c r="G172" s="23" t="str"/>
      <x:c r="H172" s="23" t="str">
        <x:v>No curated cell-death relation</x:v>
      </x:c>
      <x:c r="I172" s="23" t="str"/>
      <x:c r="J172" s="23" t="str"/>
      <x:c r="K172" s="23" t="str">
        <x:v>Hematopoietic atypical RHO GTPase</x:v>
      </x:c>
      <x:c r="L172" s="23" t="str">
        <x:v>GTPase-deficient RHO-family regulator that organizes T-cell receptor and other hematopoietic signaling rather than acting as a conventional switch.</x:v>
      </x:c>
      <x:c r="M172" s="23" t="str">
        <x:v>High</x:v>
      </x:c>
      <x:c r="N172" s="23" t="str"/>
      <x:c r="O172" s="23" t="str">
        <x:v>https://www.informatics.jax.org/quicksearch/summary?queryType=exactPhrase&amp;query=Rhoh</x:v>
      </x:c>
      <x:c r="P172" s="23" t="str">
        <x:v>https://www.uniprot.org/uniprotkb?query=%28gene_exact%3ARhoh%29+AND+%28organism_id%3A10090%29</x:v>
      </x:c>
      <x:c r="Q172" s="23" t="str">
        <x:v>https://www.ncbi.nlm.nih.gov/gene/?term=Rhoh%5Bgene%5D%20AND%20Mus%20musculus%5Borgn%5D</x:v>
      </x:c>
      <x:c r="R172" s="23" t="str">
        <x:v>https://reactome.org/content/query?q=Rhoh&amp;species=Mus%20musculus</x:v>
      </x:c>
      <x:c r="S172" s="23" t="str">
        <x:v>https://pubmed.ncbi.nlm.nih.gov/?term=(Rhoh%5BTitle%2FAbstract%5D)%20AND%20(mouse%20OR%20murine)</x:v>
      </x:c>
      <x:c r="T172" s="23" t="str">
        <x:v>No sufficiently supported metabolism or cell-death role curated</x:v>
      </x:c>
    </x:row>
    <x:row r="173">
      <x:c r="A173" s="22" t="n">
        <x:v>170</x:v>
      </x:c>
      <x:c r="B173" s="23" t="str">
        <x:v>Rin3</x:v>
      </x:c>
      <x:c r="C173" s="23" t="str">
        <x:v>RIN3</x:v>
      </x:c>
      <x:c r="D173" s="23" t="str">
        <x:v>Conserved symbol; human ortholog</x:v>
      </x:c>
      <x:c r="E173" s="23" t="str">
        <x:v>No curated metabolic role</x:v>
      </x:c>
      <x:c r="F173" s="23" t="str"/>
      <x:c r="G173" s="23" t="str"/>
      <x:c r="H173" s="23" t="str">
        <x:v>No curated cell-death relation</x:v>
      </x:c>
      <x:c r="I173" s="23" t="str"/>
      <x:c r="J173" s="23" t="str"/>
      <x:c r="K173" s="23" t="str">
        <x:v>RAB5 signaling; endocytosis</x:v>
      </x:c>
      <x:c r="L173" s="23" t="str">
        <x:v>RAB5-family guanine-nucleotide exchange factor/scaffold regulating endocytic trafficking and myeloid/osteoclast functions.</x:v>
      </x:c>
      <x:c r="M173" s="23" t="str">
        <x:v>Moderate</x:v>
      </x:c>
      <x:c r="N173" s="23" t="str"/>
      <x:c r="O173" s="23" t="str">
        <x:v>https://www.informatics.jax.org/quicksearch/summary?queryType=exactPhrase&amp;query=Rin3</x:v>
      </x:c>
      <x:c r="P173" s="23" t="str">
        <x:v>https://www.uniprot.org/uniprotkb?query=%28gene_exact%3ARin3%29+AND+%28organism_id%3A10090%29</x:v>
      </x:c>
      <x:c r="Q173" s="23" t="str">
        <x:v>https://www.ncbi.nlm.nih.gov/gene/?term=Rin3%5Bgene%5D%20AND%20Mus%20musculus%5Borgn%5D</x:v>
      </x:c>
      <x:c r="R173" s="23" t="str">
        <x:v>https://reactome.org/content/query?q=Rin3&amp;species=Mus%20musculus</x:v>
      </x:c>
      <x:c r="S173" s="23" t="str">
        <x:v>https://pubmed.ncbi.nlm.nih.gov/?term=(Rin3%5BTitle%2FAbstract%5D)%20AND%20(mouse%20OR%20murine)</x:v>
      </x:c>
      <x:c r="T173" s="23" t="str">
        <x:v>No sufficiently supported metabolism or cell-death role curated</x:v>
      </x:c>
    </x:row>
    <x:row r="174">
      <x:c r="A174" s="22" t="n">
        <x:v>171</x:v>
      </x:c>
      <x:c r="B174" s="23" t="str">
        <x:v>Rps6ka1</x:v>
      </x:c>
      <x:c r="C174" s="23" t="str">
        <x:v>RPS6KA1</x:v>
      </x:c>
      <x:c r="D174" s="23" t="str">
        <x:v>Conserved symbol; human ortholog</x:v>
      </x:c>
      <x:c r="E174" s="23" t="str">
        <x:v>No curated metabolic role</x:v>
      </x:c>
      <x:c r="F174" s="23" t="str"/>
      <x:c r="G174" s="23" t="str"/>
      <x:c r="H174" s="23" t="str">
        <x:v>Clearance/cargo/survival relation</x:v>
      </x:c>
      <x:c r="I174" s="23" t="str">
        <x:v>Apoptosis</x:v>
      </x:c>
      <x:c r="J174" s="23" t="str">
        <x:v>Pro-survival kinase: ERK-RSK1 signaling phosphorylates survival and transcriptional substrates that can restrain mitochondrial apoptosis.</x:v>
      </x:c>
      <x:c r="K174" s="23" t="str">
        <x:v>ERK-RSK signaling; growth and survival</x:v>
      </x:c>
      <x:c r="L174" s="23" t="str">
        <x:v>RSK1 serine/threonine kinase downstream of ERK, phosphorylating transcriptional and survival/metabolic targets.</x:v>
      </x:c>
      <x:c r="M174" s="23" t="str">
        <x:v>High</x:v>
      </x:c>
      <x:c r="N174" s="23" t="str">
        <x:v>REACTOME2024; NCCD2018</x:v>
      </x:c>
      <x:c r="O174" s="23" t="str">
        <x:v>https://www.informatics.jax.org/quicksearch/summary?queryType=exactPhrase&amp;query=Rps6ka1</x:v>
      </x:c>
      <x:c r="P174" s="23" t="str">
        <x:v>https://www.uniprot.org/uniprotkb?query=%28gene_exact%3ARps6ka1%29+AND+%28organism_id%3A10090%29</x:v>
      </x:c>
      <x:c r="Q174" s="23" t="str">
        <x:v>https://www.ncbi.nlm.nih.gov/gene/?term=Rps6ka1%5Bgene%5D%20AND%20Mus%20musculus%5Borgn%5D</x:v>
      </x:c>
      <x:c r="R174" s="23" t="str">
        <x:v>https://reactome.org/content/query?q=Rps6ka1&amp;species=Mus%20musculus</x:v>
      </x:c>
      <x:c r="S174" s="23" t="str">
        <x:v>https://pubmed.ncbi.nlm.nih.gov/?term=(Rps6ka1%5BTitle%2FAbstract%5D)%20AND%20(mouse%20OR%20murine)</x:v>
      </x:c>
      <x:c r="T174" s="23" t="str"/>
    </x:row>
    <x:row r="175">
      <x:c r="A175" s="22" t="n">
        <x:v>172</x:v>
      </x:c>
      <x:c r="B175" s="23" t="str">
        <x:v>Runx1</x:v>
      </x:c>
      <x:c r="C175" s="23" t="str">
        <x:v>RUNX1</x:v>
      </x:c>
      <x:c r="D175" s="23" t="str">
        <x:v>Conserved symbol; human ortholog</x:v>
      </x:c>
      <x:c r="E175" s="23" t="str">
        <x:v>No curated metabolic role</x:v>
      </x:c>
      <x:c r="F175" s="23" t="str"/>
      <x:c r="G175" s="23" t="str"/>
      <x:c r="H175" s="23" t="str">
        <x:v>No curated cell-death relation</x:v>
      </x:c>
      <x:c r="I175" s="23" t="str"/>
      <x:c r="J175" s="23" t="str"/>
      <x:c r="K175" s="23" t="str">
        <x:v>Hematopoietic transcription</x:v>
      </x:c>
      <x:c r="L175" s="23" t="str">
        <x:v>Master transcription factor required for definitive hematopoiesis and lineage-specific differentiation, with context-dependent leukemia roles.</x:v>
      </x:c>
      <x:c r="M175" s="23" t="str">
        <x:v>High</x:v>
      </x:c>
      <x:c r="N175" s="23" t="str"/>
      <x:c r="O175" s="23" t="str">
        <x:v>https://www.informatics.jax.org/quicksearch/summary?queryType=exactPhrase&amp;query=Runx1</x:v>
      </x:c>
      <x:c r="P175" s="23" t="str">
        <x:v>https://www.uniprot.org/uniprotkb?query=%28gene_exact%3ARunx1%29+AND+%28organism_id%3A10090%29</x:v>
      </x:c>
      <x:c r="Q175" s="23" t="str">
        <x:v>https://www.ncbi.nlm.nih.gov/gene/?term=Runx1%5Bgene%5D%20AND%20Mus%20musculus%5Borgn%5D</x:v>
      </x:c>
      <x:c r="R175" s="23" t="str">
        <x:v>https://reactome.org/content/query?q=Runx1&amp;species=Mus%20musculus</x:v>
      </x:c>
      <x:c r="S175" s="23" t="str">
        <x:v>https://pubmed.ncbi.nlm.nih.gov/?term=(Runx1%5BTitle%2FAbstract%5D)%20AND%20(mouse%20OR%20murine)</x:v>
      </x:c>
      <x:c r="T175" s="23" t="str">
        <x:v>No sufficiently supported metabolism or cell-death role curated</x:v>
      </x:c>
    </x:row>
    <x:row r="176">
      <x:c r="A176" s="22" t="n">
        <x:v>173</x:v>
      </x:c>
      <x:c r="B176" s="23" t="str">
        <x:v>Rxfp3</x:v>
      </x:c>
      <x:c r="C176" s="23" t="str">
        <x:v>RXFP3</x:v>
      </x:c>
      <x:c r="D176" s="23" t="str">
        <x:v>Conserved symbol; human ortholog</x:v>
      </x:c>
      <x:c r="E176" s="23" t="str">
        <x:v>No curated metabolic role</x:v>
      </x:c>
      <x:c r="F176" s="23" t="str"/>
      <x:c r="G176" s="23" t="str"/>
      <x:c r="H176" s="23" t="str">
        <x:v>No curated cell-death relation</x:v>
      </x:c>
      <x:c r="I176" s="23" t="str"/>
      <x:c r="J176" s="23" t="str"/>
      <x:c r="K176" s="23" t="str">
        <x:v>Neuropeptide GPCR signaling</x:v>
      </x:c>
      <x:c r="L176" s="23" t="str">
        <x:v>Gi/o-coupled receptor for relaxin-3 involved mainly in neural arousal, stress and feeding circuits.</x:v>
      </x:c>
      <x:c r="M176" s="23" t="str">
        <x:v>High</x:v>
      </x:c>
      <x:c r="N176" s="23" t="str"/>
      <x:c r="O176" s="23" t="str">
        <x:v>https://www.informatics.jax.org/quicksearch/summary?queryType=exactPhrase&amp;query=Rxfp3</x:v>
      </x:c>
      <x:c r="P176" s="23" t="str">
        <x:v>https://www.uniprot.org/uniprotkb?query=%28gene_exact%3ARxfp3%29+AND+%28organism_id%3A10090%29</x:v>
      </x:c>
      <x:c r="Q176" s="23" t="str">
        <x:v>https://www.ncbi.nlm.nih.gov/gene/?term=Rxfp3%5Bgene%5D%20AND%20Mus%20musculus%5Borgn%5D</x:v>
      </x:c>
      <x:c r="R176" s="23" t="str">
        <x:v>https://reactome.org/content/query?q=Rxfp3&amp;species=Mus%20musculus</x:v>
      </x:c>
      <x:c r="S176" s="23" t="str">
        <x:v>https://pubmed.ncbi.nlm.nih.gov/?term=(Rxfp3%5BTitle%2FAbstract%5D)%20AND%20(mouse%20OR%20murine)</x:v>
      </x:c>
      <x:c r="T176" s="23" t="str">
        <x:v>No sufficiently supported metabolism or cell-death role curated</x:v>
      </x:c>
    </x:row>
    <x:row r="177">
      <x:c r="A177" s="22" t="n">
        <x:v>174</x:v>
      </x:c>
      <x:c r="B177" s="23" t="str">
        <x:v>S100a8</x:v>
      </x:c>
      <x:c r="C177" s="23" t="str">
        <x:v>S100A8</x:v>
      </x:c>
      <x:c r="D177" s="23" t="str">
        <x:v>Conserved symbol; human ortholog</x:v>
      </x:c>
      <x:c r="E177" s="23" t="str">
        <x:v>Direct biochemical/transport role</x:v>
      </x:c>
      <x:c r="F177" s="23" t="str">
        <x:v>Metal, iron and heme homeostasis: Calprotectin-mediated metal sequestration</x:v>
      </x:c>
      <x:c r="G177" s="23" t="str">
        <x:v>As an S100A8-S100A9 heterodimer, chelates Zn2+, Mn2+ and other metals to restrict microbial nutrient access.</x:v>
      </x:c>
      <x:c r="H177" s="23" t="str">
        <x:v>Contextual cell-death modifier</x:v>
      </x:c>
      <x:c r="I177" s="23" t="str">
        <x:v>Inflammatory/oxidative cell death</x:v>
      </x:c>
      <x:c r="J177" s="23" t="str">
        <x:v>Extracellular DAMP and metal/redox modifier: Extracellular S100A8-containing complexes can drive TLR4/RAGE-dependent ROS and cytotoxic inflammatory signaling in selected models.</x:v>
      </x:c>
      <x:c r="K177" s="23" t="str">
        <x:v>Calcium-binding DAMP; myeloid inflammation</x:v>
      </x:c>
      <x:c r="L177" s="23" t="str">
        <x:v>S100A8 forms calprotectin with S100A9, binds metal ions and activates inflammatory receptors; abundant in neutrophils/monocytes.</x:v>
      </x:c>
      <x:c r="M177" s="23" t="str">
        <x:v>High</x:v>
      </x:c>
      <x:c r="N177" s="23" t="str">
        <x:v>UNIPROT2025; NCCD2018</x:v>
      </x:c>
      <x:c r="O177" s="23" t="str">
        <x:v>https://www.informatics.jax.org/quicksearch/summary?queryType=exactPhrase&amp;query=S100a8</x:v>
      </x:c>
      <x:c r="P177" s="23" t="str">
        <x:v>https://www.uniprot.org/uniprotkb?query=%28gene_exact%3AS100a8%29+AND+%28organism_id%3A10090%29</x:v>
      </x:c>
      <x:c r="Q177" s="23" t="str">
        <x:v>https://www.ncbi.nlm.nih.gov/gene/?term=S100a8%5Bgene%5D%20AND%20Mus%20musculus%5Borgn%5D</x:v>
      </x:c>
      <x:c r="R177" s="23" t="str">
        <x:v>https://reactome.org/content/query?q=S100a8&amp;species=Mus%20musculus</x:v>
      </x:c>
      <x:c r="S177" s="23" t="str">
        <x:v>https://pubmed.ncbi.nlm.nih.gov/?term=(S100a8%5BTitle%2FAbstract%5D)%20AND%20(mouse%20OR%20murine)</x:v>
      </x:c>
      <x:c r="T177" s="23" t="str"/>
    </x:row>
    <x:row r="178">
      <x:c r="A178" s="22" t="n">
        <x:v>175</x:v>
      </x:c>
      <x:c r="B178" s="23" t="str">
        <x:v>S100a9</x:v>
      </x:c>
      <x:c r="C178" s="23" t="str">
        <x:v>S100A9</x:v>
      </x:c>
      <x:c r="D178" s="23" t="str">
        <x:v>Conserved symbol; human ortholog</x:v>
      </x:c>
      <x:c r="E178" s="23" t="str">
        <x:v>Direct biochemical/transport role</x:v>
      </x:c>
      <x:c r="F178" s="23" t="str">
        <x:v>Metal, iron and heme homeostasis: Calprotectin-mediated metal sequestration</x:v>
      </x:c>
      <x:c r="G178" s="23" t="str">
        <x:v>As an S100A8-S100A9 heterodimer, chelates Zn2+, Mn2+ and other transition metals during nutritional immunity.</x:v>
      </x:c>
      <x:c r="H178" s="23" t="str">
        <x:v>Contextual cell-death modifier</x:v>
      </x:c>
      <x:c r="I178" s="23" t="str">
        <x:v>Inflammatory/oxidative cell death</x:v>
      </x:c>
      <x:c r="J178" s="23" t="str">
        <x:v>Extracellular DAMP and metal/redox modifier: S100A8-S100A9 can amplify TLR4/RAGE signaling, metal stress and ROS, contributing to context-specific cytotoxicity.</x:v>
      </x:c>
      <x:c r="K178" s="23" t="str">
        <x:v>Calcium-binding DAMP; calprotectin and metal sequestration</x:v>
      </x:c>
      <x:c r="L178" s="23" t="str">
        <x:v>S100A9 forms calprotectin with S100A8, sequesters transition metals and drives context-dependent TLR4/RAGE inflammatory signaling.</x:v>
      </x:c>
      <x:c r="M178" s="23" t="str">
        <x:v>High</x:v>
      </x:c>
      <x:c r="N178" s="23" t="str">
        <x:v>UNIPROT2025; NCCD2018</x:v>
      </x:c>
      <x:c r="O178" s="23" t="str">
        <x:v>https://www.informatics.jax.org/quicksearch/summary?queryType=exactPhrase&amp;query=S100a9</x:v>
      </x:c>
      <x:c r="P178" s="23" t="str">
        <x:v>https://www.uniprot.org/uniprotkb?query=%28gene_exact%3AS100a9%29+AND+%28organism_id%3A10090%29</x:v>
      </x:c>
      <x:c r="Q178" s="23" t="str">
        <x:v>https://www.ncbi.nlm.nih.gov/gene/?term=S100a9%5Bgene%5D%20AND%20Mus%20musculus%5Borgn%5D</x:v>
      </x:c>
      <x:c r="R178" s="23" t="str">
        <x:v>https://reactome.org/content/query?q=S100a9&amp;species=Mus%20musculus</x:v>
      </x:c>
      <x:c r="S178" s="23" t="str">
        <x:v>https://pubmed.ncbi.nlm.nih.gov/?term=(S100a9%5BTitle%2FAbstract%5D)%20AND%20(mouse%20OR%20murine)</x:v>
      </x:c>
      <x:c r="T178" s="23" t="str"/>
    </x:row>
    <x:row r="179">
      <x:c r="A179" s="22" t="n">
        <x:v>176</x:v>
      </x:c>
      <x:c r="B179" s="23" t="str">
        <x:v>Selplg</x:v>
      </x:c>
      <x:c r="C179" s="23" t="str">
        <x:v>SELPLG</x:v>
      </x:c>
      <x:c r="D179" s="23" t="str">
        <x:v>Conserved symbol; human ortholog</x:v>
      </x:c>
      <x:c r="E179" s="23" t="str">
        <x:v>No curated metabolic role</x:v>
      </x:c>
      <x:c r="F179" s="23" t="str"/>
      <x:c r="G179" s="23" t="str"/>
      <x:c r="H179" s="23" t="str">
        <x:v>No curated cell-death relation</x:v>
      </x:c>
      <x:c r="I179" s="23" t="str"/>
      <x:c r="J179" s="23" t="str"/>
      <x:c r="K179" s="23" t="str">
        <x:v>Selectin adhesion; leukocyte rolling</x:v>
      </x:c>
      <x:c r="L179" s="23" t="str">
        <x:v>PSGL-1 is a glycosylated ligand for P-, E- and L-selectins, enabling leukocyte tethering/rolling and signaling.</x:v>
      </x:c>
      <x:c r="M179" s="23" t="str">
        <x:v>High</x:v>
      </x:c>
      <x:c r="N179" s="23" t="str"/>
      <x:c r="O179" s="23" t="str">
        <x:v>https://www.informatics.jax.org/quicksearch/summary?queryType=exactPhrase&amp;query=Selplg</x:v>
      </x:c>
      <x:c r="P179" s="23" t="str">
        <x:v>https://www.uniprot.org/uniprotkb?query=%28gene_exact%3ASelplg%29+AND+%28organism_id%3A10090%29</x:v>
      </x:c>
      <x:c r="Q179" s="23" t="str">
        <x:v>https://www.ncbi.nlm.nih.gov/gene/?term=Selplg%5Bgene%5D%20AND%20Mus%20musculus%5Borgn%5D</x:v>
      </x:c>
      <x:c r="R179" s="23" t="str">
        <x:v>https://reactome.org/content/query?q=Selplg&amp;species=Mus%20musculus</x:v>
      </x:c>
      <x:c r="S179" s="23" t="str">
        <x:v>https://pubmed.ncbi.nlm.nih.gov/?term=(Selplg%5BTitle%2FAbstract%5D)%20AND%20(mouse%20OR%20murine)</x:v>
      </x:c>
      <x:c r="T179" s="23" t="str">
        <x:v>No sufficiently supported metabolism or cell-death role curated</x:v>
      </x:c>
    </x:row>
    <x:row r="180">
      <x:c r="A180" s="22" t="n">
        <x:v>177</x:v>
      </x:c>
      <x:c r="B180" s="23" t="str">
        <x:v>Serpine2</x:v>
      </x:c>
      <x:c r="C180" s="23" t="str">
        <x:v>SERPINE2</x:v>
      </x:c>
      <x:c r="D180" s="23" t="str">
        <x:v>Conserved symbol; human ortholog</x:v>
      </x:c>
      <x:c r="E180" s="23" t="str">
        <x:v>Regulatory/contextual metabolic role</x:v>
      </x:c>
      <x:c r="F180" s="23" t="str">
        <x:v>Protein turnover, processing and proteostasis: Serine-protease inhibition</x:v>
      </x:c>
      <x:c r="G180" s="23" t="str">
        <x:v>Forms inhibitory complexes with thrombin, plasmin and selected extracellular serine proteases.</x:v>
      </x:c>
      <x:c r="H180" s="23" t="str">
        <x:v>No curated cell-death relation</x:v>
      </x:c>
      <x:c r="I180" s="23" t="str"/>
      <x:c r="J180" s="23" t="str"/>
      <x:c r="K180" s="23" t="str">
        <x:v>Extracellular serine-protease inhibition</x:v>
      </x:c>
      <x:c r="L180" s="23" t="str">
        <x:v>Nexin-1 serpin inhibits thrombin, plasmin and selected proteases, regulating coagulation, fibrinolysis and matrix remodeling.</x:v>
      </x:c>
      <x:c r="M180" s="23" t="str">
        <x:v>High</x:v>
      </x:c>
      <x:c r="N180" s="23" t="str">
        <x:v>UNIPROT2025</x:v>
      </x:c>
      <x:c r="O180" s="23" t="str">
        <x:v>https://www.informatics.jax.org/quicksearch/summary?queryType=exactPhrase&amp;query=Serpine2</x:v>
      </x:c>
      <x:c r="P180" s="23" t="str">
        <x:v>https://www.uniprot.org/uniprotkb?query=%28gene_exact%3ASerpine2%29+AND+%28organism_id%3A10090%29</x:v>
      </x:c>
      <x:c r="Q180" s="23" t="str">
        <x:v>https://www.ncbi.nlm.nih.gov/gene/?term=Serpine2%5Bgene%5D%20AND%20Mus%20musculus%5Borgn%5D</x:v>
      </x:c>
      <x:c r="R180" s="23" t="str">
        <x:v>https://reactome.org/content/query?q=Serpine2&amp;species=Mus%20musculus</x:v>
      </x:c>
      <x:c r="S180" s="23" t="str">
        <x:v>https://pubmed.ncbi.nlm.nih.gov/?term=(Serpine2%5BTitle%2FAbstract%5D)%20AND%20(mouse%20OR%20murine)</x:v>
      </x:c>
      <x:c r="T180" s="23" t="str"/>
    </x:row>
    <x:row r="181">
      <x:c r="A181" s="22" t="n">
        <x:v>178</x:v>
      </x:c>
      <x:c r="B181" s="23" t="str">
        <x:v>Siglec1</x:v>
      </x:c>
      <x:c r="C181" s="23" t="str">
        <x:v>SIGLEC1</x:v>
      </x:c>
      <x:c r="D181" s="23" t="str">
        <x:v>Conserved symbol; human ortholog</x:v>
      </x:c>
      <x:c r="E181" s="23" t="str">
        <x:v>No curated metabolic role</x:v>
      </x:c>
      <x:c r="F181" s="23" t="str"/>
      <x:c r="G181" s="23" t="str"/>
      <x:c r="H181" s="23" t="str">
        <x:v>No curated cell-death relation</x:v>
      </x:c>
      <x:c r="I181" s="23" t="str"/>
      <x:c r="J181" s="23" t="str"/>
      <x:c r="K181" s="23" t="str">
        <x:v>Sialic-acid recognition; macrophage adhesion</x:v>
      </x:c>
      <x:c r="L181" s="23" t="str">
        <x:v>Sialoadhesin/CD169 is a macrophage lectin that binds sialylated ligands, captures particles/viruses and organizes immune interactions.</x:v>
      </x:c>
      <x:c r="M181" s="23" t="str">
        <x:v>High</x:v>
      </x:c>
      <x:c r="N181" s="23" t="str"/>
      <x:c r="O181" s="23" t="str">
        <x:v>https://www.informatics.jax.org/quicksearch/summary?queryType=exactPhrase&amp;query=Siglec1</x:v>
      </x:c>
      <x:c r="P181" s="23" t="str">
        <x:v>https://www.uniprot.org/uniprotkb?query=%28gene_exact%3ASiglec1%29+AND+%28organism_id%3A10090%29</x:v>
      </x:c>
      <x:c r="Q181" s="23" t="str">
        <x:v>https://www.ncbi.nlm.nih.gov/gene/?term=Siglec1%5Bgene%5D%20AND%20Mus%20musculus%5Borgn%5D</x:v>
      </x:c>
      <x:c r="R181" s="23" t="str">
        <x:v>https://reactome.org/content/query?q=Siglec1&amp;species=Mus%20musculus</x:v>
      </x:c>
      <x:c r="S181" s="23" t="str">
        <x:v>https://pubmed.ncbi.nlm.nih.gov/?term=(Siglec1%5BTitle%2FAbstract%5D)%20AND%20(mouse%20OR%20murine)</x:v>
      </x:c>
      <x:c r="T181" s="23" t="str">
        <x:v>No sufficiently supported metabolism or cell-death role curated</x:v>
      </x:c>
    </x:row>
    <x:row r="182">
      <x:c r="A182" s="22" t="n">
        <x:v>179</x:v>
      </x:c>
      <x:c r="B182" s="23" t="str">
        <x:v>Sla</x:v>
      </x:c>
      <x:c r="C182" s="23" t="str">
        <x:v>SLA</x:v>
      </x:c>
      <x:c r="D182" s="23" t="str">
        <x:v>Conserved symbol; human ortholog</x:v>
      </x:c>
      <x:c r="E182" s="23" t="str">
        <x:v>No curated metabolic role</x:v>
      </x:c>
      <x:c r="F182" s="23" t="str"/>
      <x:c r="G182" s="23" t="str"/>
      <x:c r="H182" s="23" t="str">
        <x:v>No curated cell-death relation</x:v>
      </x:c>
      <x:c r="I182" s="23" t="str"/>
      <x:c r="J182" s="23" t="str"/>
      <x:c r="K182" s="23" t="str">
        <x:v>Immune-receptor signal attenuation</x:v>
      </x:c>
      <x:c r="L182" s="23" t="str">
        <x:v>Src-like adaptor lacking catalytic activity; restrains antigen/Fc-receptor signaling and receptor trafficking in hematopoietic cells.</x:v>
      </x:c>
      <x:c r="M182" s="23" t="str">
        <x:v>Moderate</x:v>
      </x:c>
      <x:c r="N182" s="23" t="str"/>
      <x:c r="O182" s="23" t="str">
        <x:v>https://www.informatics.jax.org/quicksearch/summary?queryType=exactPhrase&amp;query=Sla</x:v>
      </x:c>
      <x:c r="P182" s="23" t="str">
        <x:v>https://www.uniprot.org/uniprotkb?query=%28gene_exact%3ASla%29+AND+%28organism_id%3A10090%29</x:v>
      </x:c>
      <x:c r="Q182" s="23" t="str">
        <x:v>https://www.ncbi.nlm.nih.gov/gene/?term=Sla%5Bgene%5D%20AND%20Mus%20musculus%5Borgn%5D</x:v>
      </x:c>
      <x:c r="R182" s="23" t="str">
        <x:v>https://reactome.org/content/query?q=Sla&amp;species=Mus%20musculus</x:v>
      </x:c>
      <x:c r="S182" s="23" t="str">
        <x:v>https://pubmed.ncbi.nlm.nih.gov/?term=(Sla%5BTitle%2FAbstract%5D)%20AND%20(mouse%20OR%20murine)</x:v>
      </x:c>
      <x:c r="T182" s="23" t="str">
        <x:v>No sufficiently supported metabolism or cell-death role curated</x:v>
      </x:c>
    </x:row>
    <x:row r="183">
      <x:c r="A183" s="22" t="n">
        <x:v>180</x:v>
      </x:c>
      <x:c r="B183" s="23" t="str">
        <x:v>Slc15a3</x:v>
      </x:c>
      <x:c r="C183" s="23" t="str">
        <x:v>SLC15A3</x:v>
      </x:c>
      <x:c r="D183" s="23" t="str">
        <x:v>Conserved symbol; human ortholog</x:v>
      </x:c>
      <x:c r="E183" s="23" t="str">
        <x:v>Direct biochemical/transport role</x:v>
      </x:c>
      <x:c r="F183" s="23" t="str">
        <x:v>Amino-acid and peptide metabolism: Endolysosomal histidine/dipeptide transport</x:v>
      </x:c>
      <x:c r="G183" s="23" t="str">
        <x:v>Exports/translocates histidine and selected small peptides across endolysosomal membranes, affecting nutrient and innate-signaling homeostasis.</x:v>
      </x:c>
      <x:c r="H183" s="23" t="str">
        <x:v>No curated cell-death relation</x:v>
      </x:c>
      <x:c r="I183" s="23" t="str"/>
      <x:c r="J183" s="23" t="str"/>
      <x:c r="K183" s="23" t="str">
        <x:v>Endolysosomal peptide/histidine transport</x:v>
      </x:c>
      <x:c r="L183" s="23" t="str">
        <x:v>Proton-coupled endolysosomal transporter for histidine and selected di/tripeptides, influencing lysosome homeostasis and innate signaling.</x:v>
      </x:c>
      <x:c r="M183" s="23" t="str">
        <x:v>High</x:v>
      </x:c>
      <x:c r="N183" s="23" t="str">
        <x:v>UNIPROT2025</x:v>
      </x:c>
      <x:c r="O183" s="23" t="str">
        <x:v>https://www.informatics.jax.org/quicksearch/summary?queryType=exactPhrase&amp;query=Slc15a3</x:v>
      </x:c>
      <x:c r="P183" s="23" t="str">
        <x:v>https://www.uniprot.org/uniprotkb?query=%28gene_exact%3ASlc15a3%29+AND+%28organism_id%3A10090%29</x:v>
      </x:c>
      <x:c r="Q183" s="23" t="str">
        <x:v>https://www.ncbi.nlm.nih.gov/gene/?term=Slc15a3%5Bgene%5D%20AND%20Mus%20musculus%5Borgn%5D</x:v>
      </x:c>
      <x:c r="R183" s="23" t="str">
        <x:v>https://reactome.org/content/query?q=Slc15a3&amp;species=Mus%20musculus</x:v>
      </x:c>
      <x:c r="S183" s="23" t="str">
        <x:v>https://pubmed.ncbi.nlm.nih.gov/?term=(Slc15a3%5BTitle%2FAbstract%5D)%20AND%20(mouse%20OR%20murine)</x:v>
      </x:c>
      <x:c r="T183" s="23" t="str"/>
    </x:row>
    <x:row r="184">
      <x:c r="A184" s="22" t="n">
        <x:v>181</x:v>
      </x:c>
      <x:c r="B184" s="23" t="str">
        <x:v>Slco2b1</x:v>
      </x:c>
      <x:c r="C184" s="23" t="str">
        <x:v>SLCO2B1</x:v>
      </x:c>
      <x:c r="D184" s="23" t="str">
        <x:v>Conserved symbol; human ortholog</x:v>
      </x:c>
      <x:c r="E184" s="23" t="str">
        <x:v>Direct biochemical/transport role</x:v>
      </x:c>
      <x:c r="F184" s="23" t="str">
        <x:v>Xenobiotic and endobiotic handling: Organic-anion/steroid-conjugate/lipid-mediator uptake</x:v>
      </x:c>
      <x:c r="G184" s="23" t="str">
        <x:v>Transports diverse organic anions including steroid conjugates, prostaglandins and drugs into cells.</x:v>
      </x:c>
      <x:c r="H184" s="23" t="str">
        <x:v>No curated cell-death relation</x:v>
      </x:c>
      <x:c r="I184" s="23" t="str"/>
      <x:c r="J184" s="23" t="str"/>
      <x:c r="K184" s="23" t="str">
        <x:v>Organic-anion and lipid-mediator transport</x:v>
      </x:c>
      <x:c r="L184" s="23" t="str">
        <x:v>Uptake transporter for diverse organic anions, including steroid conjugates and some prostaglandins/drugs; substrate relevance is tissue dependent.</x:v>
      </x:c>
      <x:c r="M184" s="23" t="str">
        <x:v>High</x:v>
      </x:c>
      <x:c r="N184" s="23" t="str">
        <x:v>UNIPROT2025; REACTOME2024</x:v>
      </x:c>
      <x:c r="O184" s="23" t="str">
        <x:v>https://www.informatics.jax.org/quicksearch/summary?queryType=exactPhrase&amp;query=Slco2b1</x:v>
      </x:c>
      <x:c r="P184" s="23" t="str">
        <x:v>https://www.uniprot.org/uniprotkb?query=%28gene_exact%3ASlco2b1%29+AND+%28organism_id%3A10090%29</x:v>
      </x:c>
      <x:c r="Q184" s="23" t="str">
        <x:v>https://www.ncbi.nlm.nih.gov/gene/?term=Slco2b1%5Bgene%5D%20AND%20Mus%20musculus%5Borgn%5D</x:v>
      </x:c>
      <x:c r="R184" s="23" t="str">
        <x:v>https://reactome.org/content/query?q=Slco2b1&amp;species=Mus%20musculus</x:v>
      </x:c>
      <x:c r="S184" s="23" t="str">
        <x:v>https://pubmed.ncbi.nlm.nih.gov/?term=(Slco2b1%5BTitle%2FAbstract%5D)%20AND%20(mouse%20OR%20murine)</x:v>
      </x:c>
      <x:c r="T184" s="23" t="str"/>
    </x:row>
    <x:row r="185">
      <x:c r="A185" s="22" t="n">
        <x:v>182</x:v>
      </x:c>
      <x:c r="B185" s="23" t="str">
        <x:v>Slfn4</x:v>
      </x:c>
      <x:c r="C185" s="23" t="str">
        <x:v>SLFN12/SLFN12L (family analogs)</x:v>
      </x:c>
      <x:c r="D185" s="23" t="str">
        <x:v>Schlafen-family mapping; no strict one-to-one ortholog</x:v>
      </x:c>
      <x:c r="E185" s="23" t="str">
        <x:v>No curated metabolic role</x:v>
      </x:c>
      <x:c r="F185" s="23" t="str"/>
      <x:c r="G185" s="23" t="str"/>
      <x:c r="H185" s="23" t="str">
        <x:v>No curated cell-death relation</x:v>
      </x:c>
      <x:c r="I185" s="23" t="str"/>
      <x:c r="J185" s="23" t="str"/>
      <x:c r="K185" s="23" t="str">
        <x:v>Myeloid differentiation; schlafen-family regulation</x:v>
      </x:c>
      <x:c r="L185" s="23" t="str">
        <x:v>Mouse schlafen-family protein induced in inflammatory myeloid states; roles in differentiation and translation/growth control are incompletely resolved.</x:v>
      </x:c>
      <x:c r="M185" s="23" t="str">
        <x:v>Low</x:v>
      </x:c>
      <x:c r="N185" s="23" t="str"/>
      <x:c r="O185" s="23" t="str">
        <x:v>https://www.informatics.jax.org/quicksearch/summary?queryType=exactPhrase&amp;query=Slfn4</x:v>
      </x:c>
      <x:c r="P185" s="23" t="str">
        <x:v>https://www.uniprot.org/uniprotkb?query=%28gene_exact%3ASlfn4%29+AND+%28organism_id%3A10090%29</x:v>
      </x:c>
      <x:c r="Q185" s="23" t="str">
        <x:v>https://www.ncbi.nlm.nih.gov/gene/?term=Slfn4%5Bgene%5D%20AND%20Mus%20musculus%5Borgn%5D</x:v>
      </x:c>
      <x:c r="R185" s="23" t="str">
        <x:v>https://reactome.org/content/query?q=Slfn4&amp;species=Mus%20musculus</x:v>
      </x:c>
      <x:c r="S185" s="23" t="str">
        <x:v>https://pubmed.ncbi.nlm.nih.gov/?term=(Slfn4%5BTitle%2FAbstract%5D)%20AND%20(mouse%20OR%20murine)</x:v>
      </x:c>
      <x:c r="T185" s="23" t="str">
        <x:v>Orthology requires caution; Function is poorly characterized or mainly predicted; No sufficiently supported metabolism or cell-death role curated</x:v>
      </x:c>
    </x:row>
    <x:row r="186">
      <x:c r="A186" s="22" t="n">
        <x:v>183</x:v>
      </x:c>
      <x:c r="B186" s="23" t="str">
        <x:v>Slfn5</x:v>
      </x:c>
      <x:c r="C186" s="23" t="str">
        <x:v>SLFN5</x:v>
      </x:c>
      <x:c r="D186" s="23" t="str">
        <x:v>Conserved symbol; human ortholog</x:v>
      </x:c>
      <x:c r="E186" s="23" t="str">
        <x:v>No curated metabolic role</x:v>
      </x:c>
      <x:c r="F186" s="23" t="str"/>
      <x:c r="G186" s="23" t="str"/>
      <x:c r="H186" s="23" t="str">
        <x:v>No curated cell-death relation</x:v>
      </x:c>
      <x:c r="I186" s="23" t="str"/>
      <x:c r="J186" s="23" t="str"/>
      <x:c r="K186" s="23" t="str">
        <x:v>Interferon-induced restriction and transcriptional control</x:v>
      </x:c>
      <x:c r="L186" s="23" t="str">
        <x:v>Schlafen-family protein affecting cell proliferation, differentiation and antiviral/transcriptional programs in a context-dependent manner.</x:v>
      </x:c>
      <x:c r="M186" s="23" t="str">
        <x:v>Moderate</x:v>
      </x:c>
      <x:c r="N186" s="23" t="str"/>
      <x:c r="O186" s="23" t="str">
        <x:v>https://www.informatics.jax.org/quicksearch/summary?queryType=exactPhrase&amp;query=Slfn5</x:v>
      </x:c>
      <x:c r="P186" s="23" t="str">
        <x:v>https://www.uniprot.org/uniprotkb?query=%28gene_exact%3ASlfn5%29+AND+%28organism_id%3A10090%29</x:v>
      </x:c>
      <x:c r="Q186" s="23" t="str">
        <x:v>https://www.ncbi.nlm.nih.gov/gene/?term=Slfn5%5Bgene%5D%20AND%20Mus%20musculus%5Borgn%5D</x:v>
      </x:c>
      <x:c r="R186" s="23" t="str">
        <x:v>https://reactome.org/content/query?q=Slfn5&amp;species=Mus%20musculus</x:v>
      </x:c>
      <x:c r="S186" s="23" t="str">
        <x:v>https://pubmed.ncbi.nlm.nih.gov/?term=(Slfn5%5BTitle%2FAbstract%5D)%20AND%20(mouse%20OR%20murine)</x:v>
      </x:c>
      <x:c r="T186" s="23" t="str">
        <x:v>No sufficiently supported metabolism or cell-death role curated</x:v>
      </x:c>
    </x:row>
    <x:row r="187">
      <x:c r="A187" s="22" t="n">
        <x:v>184</x:v>
      </x:c>
      <x:c r="B187" s="23" t="str">
        <x:v>Smim3</x:v>
      </x:c>
      <x:c r="C187" s="23" t="str">
        <x:v>SMIM3</x:v>
      </x:c>
      <x:c r="D187" s="23" t="str">
        <x:v>Conserved symbol; human ortholog</x:v>
      </x:c>
      <x:c r="E187" s="23" t="str">
        <x:v>No curated metabolic role</x:v>
      </x:c>
      <x:c r="F187" s="23" t="str"/>
      <x:c r="G187" s="23" t="str"/>
      <x:c r="H187" s="23" t="str">
        <x:v>No curated cell-death relation</x:v>
      </x:c>
      <x:c r="I187" s="23" t="str"/>
      <x:c r="J187" s="23" t="str"/>
      <x:c r="K187" s="23" t="str">
        <x:v>Small membrane protein; poorly characterized</x:v>
      </x:c>
      <x:c r="L187" s="23" t="str">
        <x:v>Small integral membrane protein with limited experimentally defined molecular function.</x:v>
      </x:c>
      <x:c r="M187" s="23" t="str">
        <x:v>Low</x:v>
      </x:c>
      <x:c r="N187" s="23" t="str"/>
      <x:c r="O187" s="23" t="str">
        <x:v>https://www.informatics.jax.org/quicksearch/summary?queryType=exactPhrase&amp;query=Smim3</x:v>
      </x:c>
      <x:c r="P187" s="23" t="str">
        <x:v>https://www.uniprot.org/uniprotkb?query=%28gene_exact%3ASmim3%29+AND+%28organism_id%3A10090%29</x:v>
      </x:c>
      <x:c r="Q187" s="23" t="str">
        <x:v>https://www.ncbi.nlm.nih.gov/gene/?term=Smim3%5Bgene%5D%20AND%20Mus%20musculus%5Borgn%5D</x:v>
      </x:c>
      <x:c r="R187" s="23" t="str">
        <x:v>https://reactome.org/content/query?q=Smim3&amp;species=Mus%20musculus</x:v>
      </x:c>
      <x:c r="S187" s="23" t="str">
        <x:v>https://pubmed.ncbi.nlm.nih.gov/?term=(Smim3%5BTitle%2FAbstract%5D)%20AND%20(mouse%20OR%20murine)</x:v>
      </x:c>
      <x:c r="T187" s="23" t="str">
        <x:v>Function is poorly characterized or mainly predicted; No sufficiently supported metabolism or cell-death role curated</x:v>
      </x:c>
    </x:row>
    <x:row r="188">
      <x:c r="A188" s="22" t="n">
        <x:v>185</x:v>
      </x:c>
      <x:c r="B188" s="23" t="str">
        <x:v>Snrpd3</x:v>
      </x:c>
      <x:c r="C188" s="23" t="str">
        <x:v>SNRPD3</x:v>
      </x:c>
      <x:c r="D188" s="23" t="str">
        <x:v>Conserved symbol; human ortholog</x:v>
      </x:c>
      <x:c r="E188" s="23" t="str">
        <x:v>No curated metabolic role</x:v>
      </x:c>
      <x:c r="F188" s="23" t="str"/>
      <x:c r="G188" s="23" t="str"/>
      <x:c r="H188" s="23" t="str">
        <x:v>No curated cell-death relation</x:v>
      </x:c>
      <x:c r="I188" s="23" t="str"/>
      <x:c r="J188" s="23" t="str"/>
      <x:c r="K188" s="23" t="str">
        <x:v>Pre-mRNA splicing</x:v>
      </x:c>
      <x:c r="L188" s="23" t="str">
        <x:v>Core Sm-D3 component of spliceosomal snRNPs required for snRNP assembly and pre-mRNA splicing.</x:v>
      </x:c>
      <x:c r="M188" s="23" t="str">
        <x:v>High</x:v>
      </x:c>
      <x:c r="N188" s="23" t="str"/>
      <x:c r="O188" s="23" t="str">
        <x:v>https://www.informatics.jax.org/quicksearch/summary?queryType=exactPhrase&amp;query=Snrpd3</x:v>
      </x:c>
      <x:c r="P188" s="23" t="str">
        <x:v>https://www.uniprot.org/uniprotkb?query=%28gene_exact%3ASnrpd3%29+AND+%28organism_id%3A10090%29</x:v>
      </x:c>
      <x:c r="Q188" s="23" t="str">
        <x:v>https://www.ncbi.nlm.nih.gov/gene/?term=Snrpd3%5Bgene%5D%20AND%20Mus%20musculus%5Borgn%5D</x:v>
      </x:c>
      <x:c r="R188" s="23" t="str">
        <x:v>https://reactome.org/content/query?q=Snrpd3&amp;species=Mus%20musculus</x:v>
      </x:c>
      <x:c r="S188" s="23" t="str">
        <x:v>https://pubmed.ncbi.nlm.nih.gov/?term=(Snrpd3%5BTitle%2FAbstract%5D)%20AND%20(mouse%20OR%20murine)</x:v>
      </x:c>
      <x:c r="T188" s="23" t="str">
        <x:v>No sufficiently supported metabolism or cell-death role curated</x:v>
      </x:c>
    </x:row>
    <x:row r="189">
      <x:c r="A189" s="22" t="n">
        <x:v>186</x:v>
      </x:c>
      <x:c r="B189" s="23" t="str">
        <x:v>Socs3</x:v>
      </x:c>
      <x:c r="C189" s="23" t="str">
        <x:v>SOCS3</x:v>
      </x:c>
      <x:c r="D189" s="23" t="str">
        <x:v>Conserved symbol; human ortholog</x:v>
      </x:c>
      <x:c r="E189" s="23" t="str">
        <x:v>No curated metabolic role</x:v>
      </x:c>
      <x:c r="F189" s="23" t="str"/>
      <x:c r="G189" s="23" t="str"/>
      <x:c r="H189" s="23" t="str">
        <x:v>Clearance/cargo/survival relation</x:v>
      </x:c>
      <x:c r="I189" s="23" t="str">
        <x:v>Apoptosis / cytokine-withdrawal death</x:v>
      </x:c>
      <x:c r="J189" s="23" t="str">
        <x:v>Cytokine-survival feedback modifier: SOCS3 limits JAK-STAT survival/inflammatory signals and can either sensitize to apoptosis or protect from damaging cytokine signaling.</x:v>
      </x:c>
      <x:c r="K189" s="23" t="str">
        <x:v>Cytokine signal feedback inhibition</x:v>
      </x:c>
      <x:c r="L189" s="23" t="str">
        <x:v>Inducible SOCS protein that binds JAKs/receptors and recruits ubiquitin machinery to restrain IL-6-family, leptin and other cytokine signaling.</x:v>
      </x:c>
      <x:c r="M189" s="23" t="str">
        <x:v>High</x:v>
      </x:c>
      <x:c r="N189" s="23" t="str">
        <x:v>NCCD2018</x:v>
      </x:c>
      <x:c r="O189" s="23" t="str">
        <x:v>https://www.informatics.jax.org/quicksearch/summary?queryType=exactPhrase&amp;query=Socs3</x:v>
      </x:c>
      <x:c r="P189" s="23" t="str">
        <x:v>https://www.uniprot.org/uniprotkb?query=%28gene_exact%3ASocs3%29+AND+%28organism_id%3A10090%29</x:v>
      </x:c>
      <x:c r="Q189" s="23" t="str">
        <x:v>https://www.ncbi.nlm.nih.gov/gene/?term=Socs3%5Bgene%5D%20AND%20Mus%20musculus%5Borgn%5D</x:v>
      </x:c>
      <x:c r="R189" s="23" t="str">
        <x:v>https://reactome.org/content/query?q=Socs3&amp;species=Mus%20musculus</x:v>
      </x:c>
      <x:c r="S189" s="23" t="str">
        <x:v>https://pubmed.ncbi.nlm.nih.gov/?term=(Socs3%5BTitle%2FAbstract%5D)%20AND%20(mouse%20OR%20murine)</x:v>
      </x:c>
      <x:c r="T189" s="23" t="str"/>
    </x:row>
    <x:row r="190">
      <x:c r="A190" s="22" t="n">
        <x:v>187</x:v>
      </x:c>
      <x:c r="B190" s="23" t="str">
        <x:v>Sparcl1</x:v>
      </x:c>
      <x:c r="C190" s="23" t="str">
        <x:v>SPARCL1</x:v>
      </x:c>
      <x:c r="D190" s="23" t="str">
        <x:v>Conserved symbol; human ortholog</x:v>
      </x:c>
      <x:c r="E190" s="23" t="str">
        <x:v>No curated metabolic role</x:v>
      </x:c>
      <x:c r="F190" s="23" t="str"/>
      <x:c r="G190" s="23" t="str"/>
      <x:c r="H190" s="23" t="str">
        <x:v>No curated cell-death relation</x:v>
      </x:c>
      <x:c r="I190" s="23" t="str"/>
      <x:c r="J190" s="23" t="str"/>
      <x:c r="K190" s="23" t="str">
        <x:v>Extracellular matrix; vascular quiescence</x:v>
      </x:c>
      <x:c r="L190" s="23" t="str">
        <x:v>Secreted matricellular glycoprotein regulating adhesion, endothelial behavior and tissue remodeling.</x:v>
      </x:c>
      <x:c r="M190" s="23" t="str">
        <x:v>Moderate</x:v>
      </x:c>
      <x:c r="N190" s="23" t="str"/>
      <x:c r="O190" s="23" t="str">
        <x:v>https://www.informatics.jax.org/quicksearch/summary?queryType=exactPhrase&amp;query=Sparcl1</x:v>
      </x:c>
      <x:c r="P190" s="23" t="str">
        <x:v>https://www.uniprot.org/uniprotkb?query=%28gene_exact%3ASparcl1%29+AND+%28organism_id%3A10090%29</x:v>
      </x:c>
      <x:c r="Q190" s="23" t="str">
        <x:v>https://www.ncbi.nlm.nih.gov/gene/?term=Sparcl1%5Bgene%5D%20AND%20Mus%20musculus%5Borgn%5D</x:v>
      </x:c>
      <x:c r="R190" s="23" t="str">
        <x:v>https://reactome.org/content/query?q=Sparcl1&amp;species=Mus%20musculus</x:v>
      </x:c>
      <x:c r="S190" s="23" t="str">
        <x:v>https://pubmed.ncbi.nlm.nih.gov/?term=(Sparcl1%5BTitle%2FAbstract%5D)%20AND%20(mouse%20OR%20murine)</x:v>
      </x:c>
      <x:c r="T190" s="23" t="str">
        <x:v>No sufficiently supported metabolism or cell-death role curated</x:v>
      </x:c>
    </x:row>
    <x:row r="191">
      <x:c r="A191" s="22" t="n">
        <x:v>188</x:v>
      </x:c>
      <x:c r="B191" s="23" t="str">
        <x:v>Spi1</x:v>
      </x:c>
      <x:c r="C191" s="23" t="str">
        <x:v>SPI1</x:v>
      </x:c>
      <x:c r="D191" s="23" t="str">
        <x:v>Conserved symbol; human ortholog</x:v>
      </x:c>
      <x:c r="E191" s="23" t="str">
        <x:v>No curated metabolic role</x:v>
      </x:c>
      <x:c r="F191" s="23" t="str"/>
      <x:c r="G191" s="23" t="str"/>
      <x:c r="H191" s="23" t="str">
        <x:v>No curated cell-death relation</x:v>
      </x:c>
      <x:c r="I191" s="23" t="str"/>
      <x:c r="J191" s="23" t="str"/>
      <x:c r="K191" s="23" t="str">
        <x:v>Myeloid/B-cell transcription</x:v>
      </x:c>
      <x:c r="L191" s="23" t="str">
        <x:v>PU.1 ETS-family lineage-determining transcription factor required for myeloid and B-cell enhancer programs.</x:v>
      </x:c>
      <x:c r="M191" s="23" t="str">
        <x:v>High</x:v>
      </x:c>
      <x:c r="N191" s="23" t="str"/>
      <x:c r="O191" s="23" t="str">
        <x:v>https://www.informatics.jax.org/quicksearch/summary?queryType=exactPhrase&amp;query=Spi1</x:v>
      </x:c>
      <x:c r="P191" s="23" t="str">
        <x:v>https://www.uniprot.org/uniprotkb?query=%28gene_exact%3ASpi1%29+AND+%28organism_id%3A10090%29</x:v>
      </x:c>
      <x:c r="Q191" s="23" t="str">
        <x:v>https://www.ncbi.nlm.nih.gov/gene/?term=Spi1%5Bgene%5D%20AND%20Mus%20musculus%5Borgn%5D</x:v>
      </x:c>
      <x:c r="R191" s="23" t="str">
        <x:v>https://reactome.org/content/query?q=Spi1&amp;species=Mus%20musculus</x:v>
      </x:c>
      <x:c r="S191" s="23" t="str">
        <x:v>https://pubmed.ncbi.nlm.nih.gov/?term=(Spi1%5BTitle%2FAbstract%5D)%20AND%20(mouse%20OR%20murine)</x:v>
      </x:c>
      <x:c r="T191" s="23" t="str">
        <x:v>No sufficiently supported metabolism or cell-death role curated</x:v>
      </x:c>
    </x:row>
    <x:row r="192">
      <x:c r="A192" s="22" t="n">
        <x:v>189</x:v>
      </x:c>
      <x:c r="B192" s="23" t="str">
        <x:v>Spint1</x:v>
      </x:c>
      <x:c r="C192" s="23" t="str">
        <x:v>SPINT1</x:v>
      </x:c>
      <x:c r="D192" s="23" t="str">
        <x:v>Conserved symbol; human ortholog</x:v>
      </x:c>
      <x:c r="E192" s="23" t="str">
        <x:v>Regulatory/contextual metabolic role</x:v>
      </x:c>
      <x:c r="F192" s="23" t="str">
        <x:v>Protein turnover, processing and proteostasis: Pericellular serine-protease inhibition</x:v>
      </x:c>
      <x:c r="G192" s="23" t="str">
        <x:v>Inhibits matriptase and related extracellular serine proteases to limit pericellular proteolysis.</x:v>
      </x:c>
      <x:c r="H192" s="23" t="str">
        <x:v>No curated cell-death relation</x:v>
      </x:c>
      <x:c r="I192" s="23" t="str"/>
      <x:c r="J192" s="23" t="str"/>
      <x:c r="K192" s="23" t="str">
        <x:v>Cell-surface serine-protease inhibition</x:v>
      </x:c>
      <x:c r="L192" s="23" t="str">
        <x:v>Kunitz-type inhibitor HAI-1 restraining matriptase and related proteases, thereby controlling epithelial integrity and pericellular proteolysis.</x:v>
      </x:c>
      <x:c r="M192" s="23" t="str">
        <x:v>High</x:v>
      </x:c>
      <x:c r="N192" s="23" t="str">
        <x:v>UNIPROT2025</x:v>
      </x:c>
      <x:c r="O192" s="23" t="str">
        <x:v>https://www.informatics.jax.org/quicksearch/summary?queryType=exactPhrase&amp;query=Spint1</x:v>
      </x:c>
      <x:c r="P192" s="23" t="str">
        <x:v>https://www.uniprot.org/uniprotkb?query=%28gene_exact%3ASpint1%29+AND+%28organism_id%3A10090%29</x:v>
      </x:c>
      <x:c r="Q192" s="23" t="str">
        <x:v>https://www.ncbi.nlm.nih.gov/gene/?term=Spint1%5Bgene%5D%20AND%20Mus%20musculus%5Borgn%5D</x:v>
      </x:c>
      <x:c r="R192" s="23" t="str">
        <x:v>https://reactome.org/content/query?q=Spint1&amp;species=Mus%20musculus</x:v>
      </x:c>
      <x:c r="S192" s="23" t="str">
        <x:v>https://pubmed.ncbi.nlm.nih.gov/?term=(Spint1%5BTitle%2FAbstract%5D)%20AND%20(mouse%20OR%20murine)</x:v>
      </x:c>
      <x:c r="T192" s="23" t="str"/>
    </x:row>
    <x:row r="193">
      <x:c r="A193" s="22" t="n">
        <x:v>190</x:v>
      </x:c>
      <x:c r="B193" s="23" t="str">
        <x:v>Srgn</x:v>
      </x:c>
      <x:c r="C193" s="23" t="str">
        <x:v>SRGN</x:v>
      </x:c>
      <x:c r="D193" s="23" t="str">
        <x:v>Conserved symbol; human ortholog</x:v>
      </x:c>
      <x:c r="E193" s="23" t="str">
        <x:v>No curated metabolic role</x:v>
      </x:c>
      <x:c r="F193" s="23" t="str"/>
      <x:c r="G193" s="23" t="str"/>
      <x:c r="H193" s="23" t="str">
        <x:v>No curated cell-death relation</x:v>
      </x:c>
      <x:c r="I193" s="23" t="str"/>
      <x:c r="J193" s="23" t="str"/>
      <x:c r="K193" s="23" t="str">
        <x:v>Proteoglycan storage and secretion</x:v>
      </x:c>
      <x:c r="L193" s="23" t="str">
        <x:v>Serglycin proteoglycan organizes proteases, cytokines and granule contents in hematopoietic secretory compartments.</x:v>
      </x:c>
      <x:c r="M193" s="23" t="str">
        <x:v>High</x:v>
      </x:c>
      <x:c r="N193" s="23" t="str"/>
      <x:c r="O193" s="23" t="str">
        <x:v>https://www.informatics.jax.org/quicksearch/summary?queryType=exactPhrase&amp;query=Srgn</x:v>
      </x:c>
      <x:c r="P193" s="23" t="str">
        <x:v>https://www.uniprot.org/uniprotkb?query=%28gene_exact%3ASrgn%29+AND+%28organism_id%3A10090%29</x:v>
      </x:c>
      <x:c r="Q193" s="23" t="str">
        <x:v>https://www.ncbi.nlm.nih.gov/gene/?term=Srgn%5Bgene%5D%20AND%20Mus%20musculus%5Borgn%5D</x:v>
      </x:c>
      <x:c r="R193" s="23" t="str">
        <x:v>https://reactome.org/content/query?q=Srgn&amp;species=Mus%20musculus</x:v>
      </x:c>
      <x:c r="S193" s="23" t="str">
        <x:v>https://pubmed.ncbi.nlm.nih.gov/?term=(Srgn%5BTitle%2FAbstract%5D)%20AND%20(mouse%20OR%20murine)</x:v>
      </x:c>
      <x:c r="T193" s="23" t="str">
        <x:v>No sufficiently supported metabolism or cell-death role curated</x:v>
      </x:c>
    </x:row>
    <x:row r="194">
      <x:c r="A194" s="22" t="n">
        <x:v>191</x:v>
      </x:c>
      <x:c r="B194" s="23" t="str">
        <x:v>Stat1</x:v>
      </x:c>
      <x:c r="C194" s="23" t="str">
        <x:v>STAT1</x:v>
      </x:c>
      <x:c r="D194" s="23" t="str">
        <x:v>Conserved symbol; human ortholog</x:v>
      </x:c>
      <x:c r="E194" s="23" t="str">
        <x:v>No curated metabolic role</x:v>
      </x:c>
      <x:c r="F194" s="23" t="str"/>
      <x:c r="G194" s="23" t="str"/>
      <x:c r="H194" s="23" t="str">
        <x:v>Contextual cell-death modifier</x:v>
      </x:c>
      <x:c r="I194" s="23" t="str">
        <x:v>Apoptosis and non-apoptotic regulated death</x:v>
      </x:c>
      <x:c r="J194" s="23" t="str">
        <x:v>Transcriptional regulator: STAT1 induces caspases, death receptors, growth-arrest and inflammatory genes and can sensitize cells to interferon/TNF-associated death.</x:v>
      </x:c>
      <x:c r="K194" s="23" t="str">
        <x:v>Interferon transcription; antimicrobial and death programs</x:v>
      </x:c>
      <x:c r="L194" s="23" t="str">
        <x:v>Signal transducer activated by type-I/II interferons and other cytokines, inducing antiviral, antigen-presentation, growth-arrest and context-dependent death genes.</x:v>
      </x:c>
      <x:c r="M194" s="23" t="str">
        <x:v>High</x:v>
      </x:c>
      <x:c r="N194" s="23" t="str">
        <x:v>STAT1_2007; NCCD2018</x:v>
      </x:c>
      <x:c r="O194" s="23" t="str">
        <x:v>https://www.informatics.jax.org/quicksearch/summary?queryType=exactPhrase&amp;query=Stat1</x:v>
      </x:c>
      <x:c r="P194" s="23" t="str">
        <x:v>https://www.uniprot.org/uniprotkb?query=%28gene_exact%3AStat1%29+AND+%28organism_id%3A10090%29</x:v>
      </x:c>
      <x:c r="Q194" s="23" t="str">
        <x:v>https://www.ncbi.nlm.nih.gov/gene/?term=Stat1%5Bgene%5D%20AND%20Mus%20musculus%5Borgn%5D</x:v>
      </x:c>
      <x:c r="R194" s="23" t="str">
        <x:v>https://reactome.org/content/query?q=Stat1&amp;species=Mus%20musculus</x:v>
      </x:c>
      <x:c r="S194" s="23" t="str">
        <x:v>https://pubmed.ncbi.nlm.nih.gov/?term=(Stat1%5BTitle%2FAbstract%5D)%20AND%20(mouse%20OR%20murine)</x:v>
      </x:c>
      <x:c r="T194" s="23" t="str"/>
    </x:row>
    <x:row r="195">
      <x:c r="A195" s="22" t="n">
        <x:v>192</x:v>
      </x:c>
      <x:c r="B195" s="23" t="str">
        <x:v>Syngr2</x:v>
      </x:c>
      <x:c r="C195" s="23" t="str">
        <x:v>SYNGR2</x:v>
      </x:c>
      <x:c r="D195" s="23" t="str">
        <x:v>Conserved symbol; human ortholog</x:v>
      </x:c>
      <x:c r="E195" s="23" t="str">
        <x:v>No curated metabolic role</x:v>
      </x:c>
      <x:c r="F195" s="23" t="str"/>
      <x:c r="G195" s="23" t="str"/>
      <x:c r="H195" s="23" t="str">
        <x:v>No curated cell-death relation</x:v>
      </x:c>
      <x:c r="I195" s="23" t="str"/>
      <x:c r="J195" s="23" t="str"/>
      <x:c r="K195" s="23" t="str">
        <x:v>Vesicle membrane trafficking</x:v>
      </x:c>
      <x:c r="L195" s="23" t="str">
        <x:v>Synaptogyrin-family vesicle membrane protein expressed beyond neurons; implicated in secretory/endosomal vesicle organization.</x:v>
      </x:c>
      <x:c r="M195" s="23" t="str">
        <x:v>Low</x:v>
      </x:c>
      <x:c r="N195" s="23" t="str"/>
      <x:c r="O195" s="23" t="str">
        <x:v>https://www.informatics.jax.org/quicksearch/summary?queryType=exactPhrase&amp;query=Syngr2</x:v>
      </x:c>
      <x:c r="P195" s="23" t="str">
        <x:v>https://www.uniprot.org/uniprotkb?query=%28gene_exact%3ASyngr2%29+AND+%28organism_id%3A10090%29</x:v>
      </x:c>
      <x:c r="Q195" s="23" t="str">
        <x:v>https://www.ncbi.nlm.nih.gov/gene/?term=Syngr2%5Bgene%5D%20AND%20Mus%20musculus%5Borgn%5D</x:v>
      </x:c>
      <x:c r="R195" s="23" t="str">
        <x:v>https://reactome.org/content/query?q=Syngr2&amp;species=Mus%20musculus</x:v>
      </x:c>
      <x:c r="S195" s="23" t="str">
        <x:v>https://pubmed.ncbi.nlm.nih.gov/?term=(Syngr2%5BTitle%2FAbstract%5D)%20AND%20(mouse%20OR%20murine)</x:v>
      </x:c>
      <x:c r="T195" s="23" t="str">
        <x:v>Function is poorly characterized or mainly predicted; No sufficiently supported metabolism or cell-death role curated</x:v>
      </x:c>
    </x:row>
    <x:row r="196">
      <x:c r="A196" s="22" t="n">
        <x:v>193</x:v>
      </x:c>
      <x:c r="B196" s="23" t="str">
        <x:v>Tbc1d13</x:v>
      </x:c>
      <x:c r="C196" s="23" t="str">
        <x:v>TBC1D13</x:v>
      </x:c>
      <x:c r="D196" s="23" t="str">
        <x:v>Conserved symbol; human ortholog</x:v>
      </x:c>
      <x:c r="E196" s="23" t="str">
        <x:v>No curated metabolic role</x:v>
      </x:c>
      <x:c r="F196" s="23" t="str"/>
      <x:c r="G196" s="23" t="str"/>
      <x:c r="H196" s="23" t="str">
        <x:v>No curated cell-death relation</x:v>
      </x:c>
      <x:c r="I196" s="23" t="str"/>
      <x:c r="J196" s="23" t="str"/>
      <x:c r="K196" s="23" t="str">
        <x:v>RAB GTPase regulation; trafficking</x:v>
      </x:c>
      <x:c r="L196" s="23" t="str">
        <x:v>TBC-domain RAB GTPase-activating protein with limited experimentally resolved cargo/pathway specificity.</x:v>
      </x:c>
      <x:c r="M196" s="23" t="str">
        <x:v>Low</x:v>
      </x:c>
      <x:c r="N196" s="23" t="str"/>
      <x:c r="O196" s="23" t="str">
        <x:v>https://www.informatics.jax.org/quicksearch/summary?queryType=exactPhrase&amp;query=Tbc1d13</x:v>
      </x:c>
      <x:c r="P196" s="23" t="str">
        <x:v>https://www.uniprot.org/uniprotkb?query=%28gene_exact%3ATbc1d13%29+AND+%28organism_id%3A10090%29</x:v>
      </x:c>
      <x:c r="Q196" s="23" t="str">
        <x:v>https://www.ncbi.nlm.nih.gov/gene/?term=Tbc1d13%5Bgene%5D%20AND%20Mus%20musculus%5Borgn%5D</x:v>
      </x:c>
      <x:c r="R196" s="23" t="str">
        <x:v>https://reactome.org/content/query?q=Tbc1d13&amp;species=Mus%20musculus</x:v>
      </x:c>
      <x:c r="S196" s="23" t="str">
        <x:v>https://pubmed.ncbi.nlm.nih.gov/?term=(Tbc1d13%5BTitle%2FAbstract%5D)%20AND%20(mouse%20OR%20murine)</x:v>
      </x:c>
      <x:c r="T196" s="23" t="str">
        <x:v>Function is poorly characterized or mainly predicted; No sufficiently supported metabolism or cell-death role curated</x:v>
      </x:c>
    </x:row>
    <x:row r="197">
      <x:c r="A197" s="22" t="n">
        <x:v>194</x:v>
      </x:c>
      <x:c r="B197" s="23" t="str">
        <x:v>Tgfbi</x:v>
      </x:c>
      <x:c r="C197" s="23" t="str">
        <x:v>TGFBI</x:v>
      </x:c>
      <x:c r="D197" s="23" t="str">
        <x:v>Conserved symbol; human ortholog</x:v>
      </x:c>
      <x:c r="E197" s="23" t="str">
        <x:v>No curated metabolic role</x:v>
      </x:c>
      <x:c r="F197" s="23" t="str"/>
      <x:c r="G197" s="23" t="str"/>
      <x:c r="H197" s="23" t="str">
        <x:v>No curated cell-death relation</x:v>
      </x:c>
      <x:c r="I197" s="23" t="str"/>
      <x:c r="J197" s="23" t="str"/>
      <x:c r="K197" s="23" t="str">
        <x:v>Extracellular matrix and integrin adhesion</x:v>
      </x:c>
      <x:c r="L197" s="23" t="str">
        <x:v>Secreted TGF-beta-induced matrix protein binding integrins and collagens, influencing adhesion, migration and tissue remodeling.</x:v>
      </x:c>
      <x:c r="M197" s="23" t="str">
        <x:v>High</x:v>
      </x:c>
      <x:c r="N197" s="23" t="str"/>
      <x:c r="O197" s="23" t="str">
        <x:v>https://www.informatics.jax.org/quicksearch/summary?queryType=exactPhrase&amp;query=Tgfbi</x:v>
      </x:c>
      <x:c r="P197" s="23" t="str">
        <x:v>https://www.uniprot.org/uniprotkb?query=%28gene_exact%3ATgfbi%29+AND+%28organism_id%3A10090%29</x:v>
      </x:c>
      <x:c r="Q197" s="23" t="str">
        <x:v>https://www.ncbi.nlm.nih.gov/gene/?term=Tgfbi%5Bgene%5D%20AND%20Mus%20musculus%5Borgn%5D</x:v>
      </x:c>
      <x:c r="R197" s="23" t="str">
        <x:v>https://reactome.org/content/query?q=Tgfbi&amp;species=Mus%20musculus</x:v>
      </x:c>
      <x:c r="S197" s="23" t="str">
        <x:v>https://pubmed.ncbi.nlm.nih.gov/?term=(Tgfbi%5BTitle%2FAbstract%5D)%20AND%20(mouse%20OR%20murine)</x:v>
      </x:c>
      <x:c r="T197" s="23" t="str">
        <x:v>No sufficiently supported metabolism or cell-death role curated</x:v>
      </x:c>
    </x:row>
    <x:row r="198">
      <x:c r="A198" s="22" t="n">
        <x:v>195</x:v>
      </x:c>
      <x:c r="B198" s="23" t="str">
        <x:v>Themis2</x:v>
      </x:c>
      <x:c r="C198" s="23" t="str">
        <x:v>THEMIS2</x:v>
      </x:c>
      <x:c r="D198" s="23" t="str">
        <x:v>Conserved symbol; human ortholog</x:v>
      </x:c>
      <x:c r="E198" s="23" t="str">
        <x:v>No curated metabolic role</x:v>
      </x:c>
      <x:c r="F198" s="23" t="str"/>
      <x:c r="G198" s="23" t="str"/>
      <x:c r="H198" s="23" t="str">
        <x:v>No curated cell-death relation</x:v>
      </x:c>
      <x:c r="I198" s="23" t="str"/>
      <x:c r="J198" s="23" t="str"/>
      <x:c r="K198" s="23" t="str">
        <x:v>Myeloid receptor signal tuning</x:v>
      </x:c>
      <x:c r="L198" s="23" t="str">
        <x:v>Hematopoietic adaptor regulating TLR and cytokine-receptor signaling thresholds, partly through phosphatase-associated complexes.</x:v>
      </x:c>
      <x:c r="M198" s="23" t="str">
        <x:v>Moderate</x:v>
      </x:c>
      <x:c r="N198" s="23" t="str"/>
      <x:c r="O198" s="23" t="str">
        <x:v>https://www.informatics.jax.org/quicksearch/summary?queryType=exactPhrase&amp;query=Themis2</x:v>
      </x:c>
      <x:c r="P198" s="23" t="str">
        <x:v>https://www.uniprot.org/uniprotkb?query=%28gene_exact%3AThemis2%29+AND+%28organism_id%3A10090%29</x:v>
      </x:c>
      <x:c r="Q198" s="23" t="str">
        <x:v>https://www.ncbi.nlm.nih.gov/gene/?term=Themis2%5Bgene%5D%20AND%20Mus%20musculus%5Borgn%5D</x:v>
      </x:c>
      <x:c r="R198" s="23" t="str">
        <x:v>https://reactome.org/content/query?q=Themis2&amp;species=Mus%20musculus</x:v>
      </x:c>
      <x:c r="S198" s="23" t="str">
        <x:v>https://pubmed.ncbi.nlm.nih.gov/?term=(Themis2%5BTitle%2FAbstract%5D)%20AND%20(mouse%20OR%20murine)</x:v>
      </x:c>
      <x:c r="T198" s="23" t="str">
        <x:v>No sufficiently supported metabolism or cell-death role curated</x:v>
      </x:c>
    </x:row>
    <x:row r="199">
      <x:c r="A199" s="22" t="n">
        <x:v>196</x:v>
      </x:c>
      <x:c r="B199" s="23" t="str">
        <x:v>Tlr13</x:v>
      </x:c>
      <x:c r="C199" s="23" t="str"/>
      <x:c r="D199" s="23" t="str">
        <x:v>Mouse-specific TLR; no human ortholog</x:v>
      </x:c>
      <x:c r="E199" s="23" t="str">
        <x:v>No curated metabolic role</x:v>
      </x:c>
      <x:c r="F199" s="23" t="str"/>
      <x:c r="G199" s="23" t="str"/>
      <x:c r="H199" s="23" t="str">
        <x:v>No curated cell-death relation</x:v>
      </x:c>
      <x:c r="I199" s="23" t="str"/>
      <x:c r="J199" s="23" t="str"/>
      <x:c r="K199" s="23" t="str">
        <x:v>Mouse bacterial-rRNA sensing</x:v>
      </x:c>
      <x:c r="L199" s="23" t="str">
        <x:v>Endosomal mouse TLR recognizing conserved bacterial 23S rRNA sequences; absent from humans.</x:v>
      </x:c>
      <x:c r="M199" s="23" t="str">
        <x:v>High</x:v>
      </x:c>
      <x:c r="N199" s="23" t="str"/>
      <x:c r="O199" s="23" t="str">
        <x:v>https://www.informatics.jax.org/quicksearch/summary?queryType=exactPhrase&amp;query=Tlr13</x:v>
      </x:c>
      <x:c r="P199" s="23" t="str">
        <x:v>https://www.uniprot.org/uniprotkb?query=%28gene_exact%3ATlr13%29+AND+%28organism_id%3A10090%29</x:v>
      </x:c>
      <x:c r="Q199" s="23" t="str">
        <x:v>https://www.ncbi.nlm.nih.gov/gene/?term=Tlr13%5Bgene%5D%20AND%20Mus%20musculus%5Borgn%5D</x:v>
      </x:c>
      <x:c r="R199" s="23" t="str">
        <x:v>https://reactome.org/content/query?q=Tlr13&amp;species=Mus%20musculus</x:v>
      </x:c>
      <x:c r="S199" s="23" t="str">
        <x:v>https://pubmed.ncbi.nlm.nih.gov/?term=(Tlr13%5BTitle%2FAbstract%5D)%20AND%20(mouse%20OR%20murine)</x:v>
      </x:c>
      <x:c r="T199" s="23" t="str">
        <x:v>No sufficiently supported metabolism or cell-death role curated</x:v>
      </x:c>
    </x:row>
    <x:row r="200">
      <x:c r="A200" s="22" t="n">
        <x:v>197</x:v>
      </x:c>
      <x:c r="B200" s="23" t="str">
        <x:v>Tlr2</x:v>
      </x:c>
      <x:c r="C200" s="23" t="str">
        <x:v>TLR2</x:v>
      </x:c>
      <x:c r="D200" s="23" t="str">
        <x:v>Conserved symbol; human ortholog</x:v>
      </x:c>
      <x:c r="E200" s="23" t="str">
        <x:v>No curated metabolic role</x:v>
      </x:c>
      <x:c r="F200" s="23" t="str"/>
      <x:c r="G200" s="23" t="str"/>
      <x:c r="H200" s="23" t="str">
        <x:v>Contextual cell-death modifier</x:v>
      </x:c>
      <x:c r="I200" s="23" t="str">
        <x:v>Pyroptosis / apoptosis (contextual)</x:v>
      </x:c>
      <x:c r="J200" s="23" t="str">
        <x:v>Upstream priming/sensing receptor: TLR2-MYD88 signaling primes inflammasome components and can cooperate with microbial signals to enable pyroptosis or apoptosis.</x:v>
      </x:c>
      <x:c r="K200" s="23" t="str">
        <x:v>Pattern recognition; lipoprotein sensing</x:v>
      </x:c>
      <x:c r="L200" s="23" t="str">
        <x:v>Cell-surface/endosomal TLR forming heterodimers with TLR1/6 to recognize microbial lipoproteins and activate MYD88-NF-kappaB/MAPK pathways.</x:v>
      </x:c>
      <x:c r="M200" s="23" t="str">
        <x:v>High</x:v>
      </x:c>
      <x:c r="N200" s="23" t="str">
        <x:v>GSDMD2015; NCCD2018</x:v>
      </x:c>
      <x:c r="O200" s="23" t="str">
        <x:v>https://www.informatics.jax.org/quicksearch/summary?queryType=exactPhrase&amp;query=Tlr2</x:v>
      </x:c>
      <x:c r="P200" s="23" t="str">
        <x:v>https://www.uniprot.org/uniprotkb?query=%28gene_exact%3ATlr2%29+AND+%28organism_id%3A10090%29</x:v>
      </x:c>
      <x:c r="Q200" s="23" t="str">
        <x:v>https://www.ncbi.nlm.nih.gov/gene/?term=Tlr2%5Bgene%5D%20AND%20Mus%20musculus%5Borgn%5D</x:v>
      </x:c>
      <x:c r="R200" s="23" t="str">
        <x:v>https://reactome.org/content/query?q=Tlr2&amp;species=Mus%20musculus</x:v>
      </x:c>
      <x:c r="S200" s="23" t="str">
        <x:v>https://pubmed.ncbi.nlm.nih.gov/?term=(Tlr2%5BTitle%2FAbstract%5D)%20AND%20(mouse%20OR%20murine)</x:v>
      </x:c>
      <x:c r="T200" s="23" t="str"/>
    </x:row>
    <x:row r="201">
      <x:c r="A201" s="22" t="n">
        <x:v>198</x:v>
      </x:c>
      <x:c r="B201" s="23" t="str">
        <x:v>Tlr7</x:v>
      </x:c>
      <x:c r="C201" s="23" t="str">
        <x:v>TLR7</x:v>
      </x:c>
      <x:c r="D201" s="23" t="str">
        <x:v>Conserved symbol; human ortholog</x:v>
      </x:c>
      <x:c r="E201" s="23" t="str">
        <x:v>No curated metabolic role</x:v>
      </x:c>
      <x:c r="F201" s="23" t="str"/>
      <x:c r="G201" s="23" t="str"/>
      <x:c r="H201" s="23" t="str">
        <x:v>Contextual cell-death modifier</x:v>
      </x:c>
      <x:c r="I201" s="23" t="str">
        <x:v>Pyroptosis / apoptosis (contextual)</x:v>
      </x:c>
      <x:c r="J201" s="23" t="str">
        <x:v>Upstream nucleic-acid sensor: Endosomal ssRNA sensing can induce inflammatory/IFN programs that prime or cooperate with inflammasome and apoptotic pathways.</x:v>
      </x:c>
      <x:c r="K201" s="23" t="str">
        <x:v>Endosomal ssRNA sensing</x:v>
      </x:c>
      <x:c r="L201" s="23" t="str">
        <x:v>Endosomal TLR recognizing ssRNA and guanosine-rich ligands, activating MYD88-dependent interferon and inflammatory programs.</x:v>
      </x:c>
      <x:c r="M201" s="23" t="str">
        <x:v>High</x:v>
      </x:c>
      <x:c r="N201" s="23" t="str">
        <x:v>NCCD2018</x:v>
      </x:c>
      <x:c r="O201" s="23" t="str">
        <x:v>https://www.informatics.jax.org/quicksearch/summary?queryType=exactPhrase&amp;query=Tlr7</x:v>
      </x:c>
      <x:c r="P201" s="23" t="str">
        <x:v>https://www.uniprot.org/uniprotkb?query=%28gene_exact%3ATlr7%29+AND+%28organism_id%3A10090%29</x:v>
      </x:c>
      <x:c r="Q201" s="23" t="str">
        <x:v>https://www.ncbi.nlm.nih.gov/gene/?term=Tlr7%5Bgene%5D%20AND%20Mus%20musculus%5Borgn%5D</x:v>
      </x:c>
      <x:c r="R201" s="23" t="str">
        <x:v>https://reactome.org/content/query?q=Tlr7&amp;species=Mus%20musculus</x:v>
      </x:c>
      <x:c r="S201" s="23" t="str">
        <x:v>https://pubmed.ncbi.nlm.nih.gov/?term=(Tlr7%5BTitle%2FAbstract%5D)%20AND%20(mouse%20OR%20murine)</x:v>
      </x:c>
      <x:c r="T201" s="23" t="str"/>
    </x:row>
    <x:row r="202">
      <x:c r="A202" s="22" t="n">
        <x:v>199</x:v>
      </x:c>
      <x:c r="B202" s="23" t="str">
        <x:v>Tmbim6</x:v>
      </x:c>
      <x:c r="C202" s="23" t="str">
        <x:v>TMBIM6</x:v>
      </x:c>
      <x:c r="D202" s="23" t="str">
        <x:v>Conserved symbol; human ortholog</x:v>
      </x:c>
      <x:c r="E202" s="23" t="str">
        <x:v>No curated metabolic role</x:v>
      </x:c>
      <x:c r="F202" s="23" t="str"/>
      <x:c r="G202" s="23" t="str"/>
      <x:c r="H202" s="23" t="str">
        <x:v>Clearance/cargo/survival relation</x:v>
      </x:c>
      <x:c r="I202" s="23" t="str">
        <x:v>Intrinsic/ER-stress apoptosis</x:v>
      </x:c>
      <x:c r="J202" s="23" t="str">
        <x:v>Core survival regulator: ER-resident BAX-inhibitor-1/TMBIM6 limits BAX-associated and ER-stress-induced apoptosis by modulating calcium and UPR signaling.</x:v>
      </x:c>
      <x:c r="K202" s="23" t="str">
        <x:v>ER calcium/stress homeostasis; survival</x:v>
      </x:c>
      <x:c r="L202" s="23" t="str">
        <x:v>BAX-inhibitor-1 family ER membrane protein that limits ER-stress-associated apoptosis and modulates calcium flux/UPR signaling.</x:v>
      </x:c>
      <x:c r="M202" s="23" t="str">
        <x:v>High</x:v>
      </x:c>
      <x:c r="N202" s="23" t="str">
        <x:v>TMBIM6_2020; NCCD2018</x:v>
      </x:c>
      <x:c r="O202" s="23" t="str">
        <x:v>https://www.informatics.jax.org/quicksearch/summary?queryType=exactPhrase&amp;query=Tmbim6</x:v>
      </x:c>
      <x:c r="P202" s="23" t="str">
        <x:v>https://www.uniprot.org/uniprotkb?query=%28gene_exact%3ATmbim6%29+AND+%28organism_id%3A10090%29</x:v>
      </x:c>
      <x:c r="Q202" s="23" t="str">
        <x:v>https://www.ncbi.nlm.nih.gov/gene/?term=Tmbim6%5Bgene%5D%20AND%20Mus%20musculus%5Borgn%5D</x:v>
      </x:c>
      <x:c r="R202" s="23" t="str">
        <x:v>https://reactome.org/content/query?q=Tmbim6&amp;species=Mus%20musculus</x:v>
      </x:c>
      <x:c r="S202" s="23" t="str">
        <x:v>https://pubmed.ncbi.nlm.nih.gov/?term=(Tmbim6%5BTitle%2FAbstract%5D)%20AND%20(mouse%20OR%20murine)</x:v>
      </x:c>
      <x:c r="T202" s="23" t="str"/>
    </x:row>
    <x:row r="203">
      <x:c r="A203" s="22" t="n">
        <x:v>200</x:v>
      </x:c>
      <x:c r="B203" s="23" t="str">
        <x:v>Tmem119</x:v>
      </x:c>
      <x:c r="C203" s="23" t="str">
        <x:v>TMEM119</x:v>
      </x:c>
      <x:c r="D203" s="23" t="str">
        <x:v>Conserved symbol; human ortholog</x:v>
      </x:c>
      <x:c r="E203" s="23" t="str">
        <x:v>No curated metabolic role</x:v>
      </x:c>
      <x:c r="F203" s="23" t="str"/>
      <x:c r="G203" s="23" t="str"/>
      <x:c r="H203" s="23" t="str">
        <x:v>No curated cell-death relation</x:v>
      </x:c>
      <x:c r="I203" s="23" t="str"/>
      <x:c r="J203" s="23" t="str"/>
      <x:c r="K203" s="23" t="str">
        <x:v>Microglial identity; membrane protein</x:v>
      </x:c>
      <x:c r="L203" s="23" t="str">
        <x:v>Microglia-enriched transmembrane protein widely used to distinguish resident microglia; mechanistic function remains incompletely characterized.</x:v>
      </x:c>
      <x:c r="M203" s="23" t="str">
        <x:v>Moderate</x:v>
      </x:c>
      <x:c r="N203" s="23" t="str"/>
      <x:c r="O203" s="23" t="str">
        <x:v>https://www.informatics.jax.org/quicksearch/summary?queryType=exactPhrase&amp;query=Tmem119</x:v>
      </x:c>
      <x:c r="P203" s="23" t="str">
        <x:v>https://www.uniprot.org/uniprotkb?query=%28gene_exact%3ATmem119%29+AND+%28organism_id%3A10090%29</x:v>
      </x:c>
      <x:c r="Q203" s="23" t="str">
        <x:v>https://www.ncbi.nlm.nih.gov/gene/?term=Tmem119%5Bgene%5D%20AND%20Mus%20musculus%5Borgn%5D</x:v>
      </x:c>
      <x:c r="R203" s="23" t="str">
        <x:v>https://reactome.org/content/query?q=Tmem119&amp;species=Mus%20musculus</x:v>
      </x:c>
      <x:c r="S203" s="23" t="str">
        <x:v>https://pubmed.ncbi.nlm.nih.gov/?term=(Tmem119%5BTitle%2FAbstract%5D)%20AND%20(mouse%20OR%20murine)</x:v>
      </x:c>
      <x:c r="T203" s="23" t="str">
        <x:v>No sufficiently supported metabolism or cell-death role curated</x:v>
      </x:c>
    </x:row>
    <x:row r="204">
      <x:c r="A204" s="22" t="n">
        <x:v>201</x:v>
      </x:c>
      <x:c r="B204" s="23" t="str">
        <x:v>Tnf</x:v>
      </x:c>
      <x:c r="C204" s="23" t="str">
        <x:v>TNF</x:v>
      </x:c>
      <x:c r="D204" s="23" t="str">
        <x:v>Conserved symbol; human ortholog</x:v>
      </x:c>
      <x:c r="E204" s="23" t="str">
        <x:v>No curated metabolic role</x:v>
      </x:c>
      <x:c r="F204" s="23" t="str"/>
      <x:c r="G204" s="23" t="str"/>
      <x:c r="H204" s="23" t="str">
        <x:v>Mechanistic pathway relation</x:v>
      </x:c>
      <x:c r="I204" s="23" t="str">
        <x:v>Extrinsic apoptosis; Necroptosis</x:v>
      </x:c>
      <x:c r="J204" s="23" t="str">
        <x:v>Upstream death ligand: TNF binding to TNFR1 can assemble RIPK1-FADD-caspase-8 complexes and activate caspase-dependent apoptosis when pro-survival checkpoints fail.; Upstream death ligand: When caspase-8 activity is absent/inhibited, TNFR1 signaling can engage RIPK1-RIPK3-MLKL necroptosis.</x:v>
      </x:c>
      <x:c r="K204" s="23" t="str">
        <x:v>TNF-receptor inflammation and cell-fate signaling</x:v>
      </x:c>
      <x:c r="L204" s="23" t="str">
        <x:v>Pleiotropic cytokine activating TNFR1/TNFR2 pathways controlling inflammation, survival, apoptosis or necroptosis depending on signaling context.</x:v>
      </x:c>
      <x:c r="M204" s="23" t="str">
        <x:v>High</x:v>
      </x:c>
      <x:c r="N204" s="23" t="str">
        <x:v>TNF2022; NCCD2018</x:v>
      </x:c>
      <x:c r="O204" s="23" t="str">
        <x:v>https://www.informatics.jax.org/quicksearch/summary?queryType=exactPhrase&amp;query=Tnf</x:v>
      </x:c>
      <x:c r="P204" s="23" t="str">
        <x:v>https://www.uniprot.org/uniprotkb?query=%28gene_exact%3ATnf%29+AND+%28organism_id%3A10090%29</x:v>
      </x:c>
      <x:c r="Q204" s="23" t="str">
        <x:v>https://www.ncbi.nlm.nih.gov/gene/?term=Tnf%5Bgene%5D%20AND%20Mus%20musculus%5Borgn%5D</x:v>
      </x:c>
      <x:c r="R204" s="23" t="str">
        <x:v>https://reactome.org/content/query?q=Tnf&amp;species=Mus%20musculus</x:v>
      </x:c>
      <x:c r="S204" s="23" t="str">
        <x:v>https://pubmed.ncbi.nlm.nih.gov/?term=(Tnf%5BTitle%2FAbstract%5D)%20AND%20(mouse%20OR%20murine)</x:v>
      </x:c>
      <x:c r="T204" s="23" t="str"/>
    </x:row>
    <x:row r="205">
      <x:c r="A205" s="22" t="n">
        <x:v>202</x:v>
      </x:c>
      <x:c r="B205" s="23" t="str">
        <x:v>Tnfaip2</x:v>
      </x:c>
      <x:c r="C205" s="23" t="str">
        <x:v>TNFAIP2</x:v>
      </x:c>
      <x:c r="D205" s="23" t="str">
        <x:v>Conserved symbol; human ortholog</x:v>
      </x:c>
      <x:c r="E205" s="23" t="str">
        <x:v>No curated metabolic role</x:v>
      </x:c>
      <x:c r="F205" s="23" t="str"/>
      <x:c r="G205" s="23" t="str"/>
      <x:c r="H205" s="23" t="str">
        <x:v>No curated cell-death relation</x:v>
      </x:c>
      <x:c r="I205" s="23" t="str"/>
      <x:c r="J205" s="23" t="str"/>
      <x:c r="K205" s="23" t="str">
        <x:v>Inflammation-induced trafficking and angiogenesis</x:v>
      </x:c>
      <x:c r="L205" s="23" t="str">
        <x:v>TNF-inducible protein associated with membrane protrusions, migration, vesicle dynamics and angiogenic/inflammatory programs.</x:v>
      </x:c>
      <x:c r="M205" s="23" t="str">
        <x:v>Moderate</x:v>
      </x:c>
      <x:c r="N205" s="23" t="str"/>
      <x:c r="O205" s="23" t="str">
        <x:v>https://www.informatics.jax.org/quicksearch/summary?queryType=exactPhrase&amp;query=Tnfaip2</x:v>
      </x:c>
      <x:c r="P205" s="23" t="str">
        <x:v>https://www.uniprot.org/uniprotkb?query=%28gene_exact%3ATnfaip2%29+AND+%28organism_id%3A10090%29</x:v>
      </x:c>
      <x:c r="Q205" s="23" t="str">
        <x:v>https://www.ncbi.nlm.nih.gov/gene/?term=Tnfaip2%5Bgene%5D%20AND%20Mus%20musculus%5Borgn%5D</x:v>
      </x:c>
      <x:c r="R205" s="23" t="str">
        <x:v>https://reactome.org/content/query?q=Tnfaip2&amp;species=Mus%20musculus</x:v>
      </x:c>
      <x:c r="S205" s="23" t="str">
        <x:v>https://pubmed.ncbi.nlm.nih.gov/?term=(Tnfaip2%5BTitle%2FAbstract%5D)%20AND%20(mouse%20OR%20murine)</x:v>
      </x:c>
      <x:c r="T205" s="23" t="str">
        <x:v>No sufficiently supported metabolism or cell-death role curated</x:v>
      </x:c>
    </x:row>
    <x:row r="206">
      <x:c r="A206" s="22" t="n">
        <x:v>203</x:v>
      </x:c>
      <x:c r="B206" s="23" t="str">
        <x:v>Top2a</x:v>
      </x:c>
      <x:c r="C206" s="23" t="str">
        <x:v>TOP2A</x:v>
      </x:c>
      <x:c r="D206" s="23" t="str">
        <x:v>Conserved symbol; human ortholog</x:v>
      </x:c>
      <x:c r="E206" s="23" t="str">
        <x:v>No curated metabolic role</x:v>
      </x:c>
      <x:c r="F206" s="23" t="str"/>
      <x:c r="G206" s="23" t="str"/>
      <x:c r="H206" s="23" t="str">
        <x:v>No curated cell-death relation</x:v>
      </x:c>
      <x:c r="I206" s="23" t="str"/>
      <x:c r="J206" s="23" t="str"/>
      <x:c r="K206" s="23" t="str">
        <x:v>DNA topology and replication</x:v>
      </x:c>
      <x:c r="L206" s="23" t="str">
        <x:v>ATP-dependent type-II topoisomerase that resolves DNA supercoils/catenanes during replication and mitosis; poisons cause DNA-break-mediated cell death.</x:v>
      </x:c>
      <x:c r="M206" s="23" t="str">
        <x:v>High</x:v>
      </x:c>
      <x:c r="N206" s="23" t="str"/>
      <x:c r="O206" s="23" t="str">
        <x:v>https://www.informatics.jax.org/quicksearch/summary?queryType=exactPhrase&amp;query=Top2a</x:v>
      </x:c>
      <x:c r="P206" s="23" t="str">
        <x:v>https://www.uniprot.org/uniprotkb?query=%28gene_exact%3ATop2a%29+AND+%28organism_id%3A10090%29</x:v>
      </x:c>
      <x:c r="Q206" s="23" t="str">
        <x:v>https://www.ncbi.nlm.nih.gov/gene/?term=Top2a%5Bgene%5D%20AND%20Mus%20musculus%5Borgn%5D</x:v>
      </x:c>
      <x:c r="R206" s="23" t="str">
        <x:v>https://reactome.org/content/query?q=Top2a&amp;species=Mus%20musculus</x:v>
      </x:c>
      <x:c r="S206" s="23" t="str">
        <x:v>https://pubmed.ncbi.nlm.nih.gov/?term=(Top2a%5BTitle%2FAbstract%5D)%20AND%20(mouse%20OR%20murine)</x:v>
      </x:c>
      <x:c r="T206" s="23" t="str">
        <x:v>No sufficiently supported metabolism or cell-death role curated</x:v>
      </x:c>
    </x:row>
    <x:row r="207">
      <x:c r="A207" s="22" t="n">
        <x:v>204</x:v>
      </x:c>
      <x:c r="B207" s="23" t="str">
        <x:v>Trem2</x:v>
      </x:c>
      <x:c r="C207" s="23" t="str">
        <x:v>TREM2</x:v>
      </x:c>
      <x:c r="D207" s="23" t="str">
        <x:v>Conserved symbol; human ortholog</x:v>
      </x:c>
      <x:c r="E207" s="23" t="str">
        <x:v>Regulatory/contextual metabolic role</x:v>
      </x:c>
      <x:c r="F207" s="23" t="str">
        <x:v>Lipid, sterol and lipoprotein metabolism: Microglial cholesterol/lipid handling after phagocytosis</x:v>
      </x:c>
      <x:c r="G207" s="23" t="str">
        <x:v>TREM2-TYROBP signaling enables transcriptional and cellular adaptation to myelin/lipid uptake; deficiency causes cholesteryl-ester accumulation and impaired lipid processing.</x:v>
      </x:c>
      <x:c r="H207" s="23" t="str">
        <x:v>Clearance/cargo/survival relation</x:v>
      </x:c>
      <x:c r="I207" s="23" t="str">
        <x:v>Apoptotic-cell clearance (efferocytosis); Cell survival</x:v>
      </x:c>
      <x:c r="J207" s="23" t="str">
        <x:v>Phagocytic recognition/signaling: TREM2-TYROBP signaling supports uptake and processing of apoptotic/lipid-rich cellular debris by microglia/macrophages.; Pro-survival receptor signaling: TREM2-TYROBP-SYK/PI3K signaling supports microglial survival during lipid/phagocytic stress.</x:v>
      </x:c>
      <x:c r="K207" s="23" t="str">
        <x:v>Myeloid lipid sensing; phagocytosis and survival</x:v>
      </x:c>
      <x:c r="L207" s="23" t="str">
        <x:v>Immunoglobulin-family receptor signaling through TYROBP to support microglial/macrophage phagocytosis, survival and adaptation to lipid-rich debris.</x:v>
      </x:c>
      <x:c r="M207" s="23" t="str">
        <x:v>High</x:v>
      </x:c>
      <x:c r="N207" s="23" t="str">
        <x:v>TREM2_2020; C1Q2014</x:v>
      </x:c>
      <x:c r="O207" s="23" t="str">
        <x:v>https://www.informatics.jax.org/quicksearch/summary?queryType=exactPhrase&amp;query=Trem2</x:v>
      </x:c>
      <x:c r="P207" s="23" t="str">
        <x:v>https://www.uniprot.org/uniprotkb?query=%28gene_exact%3ATrem2%29+AND+%28organism_id%3A10090%29</x:v>
      </x:c>
      <x:c r="Q207" s="23" t="str">
        <x:v>https://www.ncbi.nlm.nih.gov/gene/?term=Trem2%5Bgene%5D%20AND%20Mus%20musculus%5Borgn%5D</x:v>
      </x:c>
      <x:c r="R207" s="23" t="str">
        <x:v>https://reactome.org/content/query?q=Trem2&amp;species=Mus%20musculus</x:v>
      </x:c>
      <x:c r="S207" s="23" t="str">
        <x:v>https://pubmed.ncbi.nlm.nih.gov/?term=(Trem2%5BTitle%2FAbstract%5D)%20AND%20(mouse%20OR%20murine)</x:v>
      </x:c>
      <x:c r="T207" s="23" t="str"/>
    </x:row>
    <x:row r="208">
      <x:c r="A208" s="22" t="n">
        <x:v>205</x:v>
      </x:c>
      <x:c r="B208" s="23" t="str">
        <x:v>Trim30a</x:v>
      </x:c>
      <x:c r="C208" s="23" t="str">
        <x:v>TRIM5/TRIM22 (family analogs)</x:v>
      </x:c>
      <x:c r="D208" s="23" t="str">
        <x:v>No strict one-to-one ortholog</x:v>
      </x:c>
      <x:c r="E208" s="23" t="str">
        <x:v>No curated metabolic role</x:v>
      </x:c>
      <x:c r="F208" s="23" t="str"/>
      <x:c r="G208" s="23" t="str"/>
      <x:c r="H208" s="23" t="str">
        <x:v>No curated cell-death relation</x:v>
      </x:c>
      <x:c r="I208" s="23" t="str"/>
      <x:c r="J208" s="23" t="str"/>
      <x:c r="K208" s="23" t="str">
        <x:v>Innate immune signal attenuation</x:v>
      </x:c>
      <x:c r="L208" s="23" t="str">
        <x:v>Mouse TRIM-family protein reported to restrain TLR/STING-related signaling; no strict human ortholog and mechanisms are context dependent.</x:v>
      </x:c>
      <x:c r="M208" s="23" t="str">
        <x:v>Moderate</x:v>
      </x:c>
      <x:c r="N208" s="23" t="str"/>
      <x:c r="O208" s="23" t="str">
        <x:v>https://www.informatics.jax.org/quicksearch/summary?queryType=exactPhrase&amp;query=Trim30a</x:v>
      </x:c>
      <x:c r="P208" s="23" t="str">
        <x:v>https://www.uniprot.org/uniprotkb?query=%28gene_exact%3ATrim30a%29+AND+%28organism_id%3A10090%29</x:v>
      </x:c>
      <x:c r="Q208" s="23" t="str">
        <x:v>https://www.ncbi.nlm.nih.gov/gene/?term=Trim30a%5Bgene%5D%20AND%20Mus%20musculus%5Borgn%5D</x:v>
      </x:c>
      <x:c r="R208" s="23" t="str">
        <x:v>https://reactome.org/content/query?q=Trim30a&amp;species=Mus%20musculus</x:v>
      </x:c>
      <x:c r="S208" s="23" t="str">
        <x:v>https://pubmed.ncbi.nlm.nih.gov/?term=(Trim30a%5BTitle%2FAbstract%5D)%20AND%20(mouse%20OR%20murine)</x:v>
      </x:c>
      <x:c r="T208" s="23" t="str">
        <x:v>Orthology requires caution; No sufficiently supported metabolism or cell-death role curated</x:v>
      </x:c>
    </x:row>
    <x:row r="209">
      <x:c r="A209" s="22" t="n">
        <x:v>206</x:v>
      </x:c>
      <x:c r="B209" s="23" t="str">
        <x:v>Tspan14</x:v>
      </x:c>
      <x:c r="C209" s="23" t="str">
        <x:v>TSPAN14</x:v>
      </x:c>
      <x:c r="D209" s="23" t="str">
        <x:v>Conserved symbol; human ortholog</x:v>
      </x:c>
      <x:c r="E209" s="23" t="str">
        <x:v>No curated metabolic role</x:v>
      </x:c>
      <x:c r="F209" s="23" t="str"/>
      <x:c r="G209" s="23" t="str"/>
      <x:c r="H209" s="23" t="str">
        <x:v>No curated cell-death relation</x:v>
      </x:c>
      <x:c r="I209" s="23" t="str"/>
      <x:c r="J209" s="23" t="str"/>
      <x:c r="K209" s="23" t="str">
        <x:v>ADAM10 trafficking; Notch signaling</x:v>
      </x:c>
      <x:c r="L209" s="23" t="str">
        <x:v>Tetraspanin regulating maturation, surface trafficking and substrate selectivity of ADAM10, thereby affecting Notch and ectodomain shedding.</x:v>
      </x:c>
      <x:c r="M209" s="23" t="str">
        <x:v>High</x:v>
      </x:c>
      <x:c r="N209" s="23" t="str"/>
      <x:c r="O209" s="23" t="str">
        <x:v>https://www.informatics.jax.org/quicksearch/summary?queryType=exactPhrase&amp;query=Tspan14</x:v>
      </x:c>
      <x:c r="P209" s="23" t="str">
        <x:v>https://www.uniprot.org/uniprotkb?query=%28gene_exact%3ATspan14%29+AND+%28organism_id%3A10090%29</x:v>
      </x:c>
      <x:c r="Q209" s="23" t="str">
        <x:v>https://www.ncbi.nlm.nih.gov/gene/?term=Tspan14%5Bgene%5D%20AND%20Mus%20musculus%5Borgn%5D</x:v>
      </x:c>
      <x:c r="R209" s="23" t="str">
        <x:v>https://reactome.org/content/query?q=Tspan14&amp;species=Mus%20musculus</x:v>
      </x:c>
      <x:c r="S209" s="23" t="str">
        <x:v>https://pubmed.ncbi.nlm.nih.gov/?term=(Tspan14%5BTitle%2FAbstract%5D)%20AND%20(mouse%20OR%20murine)</x:v>
      </x:c>
      <x:c r="T209" s="23" t="str">
        <x:v>No sufficiently supported metabolism or cell-death role curated</x:v>
      </x:c>
    </x:row>
    <x:row r="210">
      <x:c r="A210" s="22" t="n">
        <x:v>207</x:v>
      </x:c>
      <x:c r="B210" s="23" t="str">
        <x:v>Tspo</x:v>
      </x:c>
      <x:c r="C210" s="23" t="str">
        <x:v>TSPO</x:v>
      </x:c>
      <x:c r="D210" s="23" t="str">
        <x:v>Conserved symbol; human ortholog</x:v>
      </x:c>
      <x:c r="E210" s="23" t="str">
        <x:v>Predicted/disputed metabolic relation</x:v>
      </x:c>
      <x:c r="F210" s="23" t="str">
        <x:v>Lipid, sterol and lipoprotein metabolism: Mitochondrial cholesterol handling/steroidogenesis</x:v>
      </x:c>
      <x:c r="G210" s="23" t="str">
        <x:v>Binds cholesterol and has been proposed to facilitate outer-to-inner mitochondrial cholesterol movement and steroid synthesis.</x:v>
      </x:c>
      <x:c r="H210" s="23" t="str">
        <x:v>Contextual cell-death modifier</x:v>
      </x:c>
      <x:c r="I210" s="23" t="str">
        <x:v>Apoptosis / mitochondrial permeability (reported)</x:v>
      </x:c>
      <x:c r="J210" s="23" t="str">
        <x:v>Disputed mitochondrial modifier: TSPO ligands and expression changes have been associated with mitochondrial permeability and apoptosis in many pharmacologic studies.</x:v>
      </x:c>
      <x:c r="K210" s="23" t="str">
        <x:v>Mitochondrial outer-membrane stress/lipid biology</x:v>
      </x:c>
      <x:c r="L210" s="23" t="str">
        <x:v>18-kDa translocator protein binds cholesterol and ligands and is induced in activated glia; obligatory roles in steroidogenesis or apoptosis are disputed by knockout studies.</x:v>
      </x:c>
      <x:c r="M210" s="23" t="str">
        <x:v>Moderate</x:v>
      </x:c>
      <x:c r="N210" s="23" t="str">
        <x:v>TSPO2018; UNIPROT2025; NCCD2018</x:v>
      </x:c>
      <x:c r="O210" s="23" t="str">
        <x:v>https://www.informatics.jax.org/quicksearch/summary?queryType=exactPhrase&amp;query=Tspo</x:v>
      </x:c>
      <x:c r="P210" s="23" t="str">
        <x:v>https://www.uniprot.org/uniprotkb?query=%28gene_exact%3ATspo%29+AND+%28organism_id%3A10090%29</x:v>
      </x:c>
      <x:c r="Q210" s="23" t="str">
        <x:v>https://www.ncbi.nlm.nih.gov/gene/?term=Tspo%5Bgene%5D%20AND%20Mus%20musculus%5Borgn%5D</x:v>
      </x:c>
      <x:c r="R210" s="23" t="str">
        <x:v>https://reactome.org/content/query?q=Tspo&amp;species=Mus%20musculus</x:v>
      </x:c>
      <x:c r="S210" s="23" t="str">
        <x:v>https://pubmed.ncbi.nlm.nih.gov/?term=(Tspo%5BTitle%2FAbstract%5D)%20AND%20(mouse%20OR%20murine)</x:v>
      </x:c>
      <x:c r="T210" s="23" t="str"/>
    </x:row>
    <x:row r="211">
      <x:c r="A211" s="22" t="n">
        <x:v>208</x:v>
      </x:c>
      <x:c r="B211" s="23" t="str">
        <x:v>Tyrobp</x:v>
      </x:c>
      <x:c r="C211" s="23" t="str">
        <x:v>TYROBP</x:v>
      </x:c>
      <x:c r="D211" s="23" t="str">
        <x:v>Conserved symbol; human ortholog</x:v>
      </x:c>
      <x:c r="E211" s="23" t="str">
        <x:v>No curated metabolic role</x:v>
      </x:c>
      <x:c r="F211" s="23" t="str"/>
      <x:c r="G211" s="23" t="str"/>
      <x:c r="H211" s="23" t="str">
        <x:v>Clearance/cargo/survival relation</x:v>
      </x:c>
      <x:c r="I211" s="23" t="str">
        <x:v>Cell survival and efferocytosis</x:v>
      </x:c>
      <x:c r="J211" s="23" t="str">
        <x:v>Receptor-adaptor modifier: DAP12 couples TREM2 and related receptors to SYK/PI3K signaling that supports phagocytosis and myeloid survival.</x:v>
      </x:c>
      <x:c r="K211" s="23" t="str">
        <x:v>ITAM adaptor; myeloid receptor signaling</x:v>
      </x:c>
      <x:c r="L211" s="23" t="str">
        <x:v>DAP12 adaptor coupling TREM2 and other receptors to SYK/PI3K pathways controlling phagocytosis, survival and inflammatory responses.</x:v>
      </x:c>
      <x:c r="M211" s="23" t="str">
        <x:v>High</x:v>
      </x:c>
      <x:c r="N211" s="23" t="str">
        <x:v>TREM2_2020; NCCD2018</x:v>
      </x:c>
      <x:c r="O211" s="23" t="str">
        <x:v>https://www.informatics.jax.org/quicksearch/summary?queryType=exactPhrase&amp;query=Tyrobp</x:v>
      </x:c>
      <x:c r="P211" s="23" t="str">
        <x:v>https://www.uniprot.org/uniprotkb?query=%28gene_exact%3ATyrobp%29+AND+%28organism_id%3A10090%29</x:v>
      </x:c>
      <x:c r="Q211" s="23" t="str">
        <x:v>https://www.ncbi.nlm.nih.gov/gene/?term=Tyrobp%5Bgene%5D%20AND%20Mus%20musculus%5Borgn%5D</x:v>
      </x:c>
      <x:c r="R211" s="23" t="str">
        <x:v>https://reactome.org/content/query?q=Tyrobp&amp;species=Mus%20musculus</x:v>
      </x:c>
      <x:c r="S211" s="23" t="str">
        <x:v>https://pubmed.ncbi.nlm.nih.gov/?term=(Tyrobp%5BTitle%2FAbstract%5D)%20AND%20(mouse%20OR%20murine)</x:v>
      </x:c>
      <x:c r="T211" s="23" t="str"/>
    </x:row>
    <x:row r="212">
      <x:c r="A212" s="22" t="n">
        <x:v>209</x:v>
      </x:c>
      <x:c r="B212" s="23" t="str">
        <x:v>Ucp2</x:v>
      </x:c>
      <x:c r="C212" s="23" t="str">
        <x:v>UCP2</x:v>
      </x:c>
      <x:c r="D212" s="23" t="str">
        <x:v>Conserved symbol; human ortholog</x:v>
      </x:c>
      <x:c r="E212" s="23" t="str">
        <x:v>Regulatory/contextual metabolic role</x:v>
      </x:c>
      <x:c r="F212" s="23" t="str">
        <x:v>Mitochondrial bioenergetics: Mitochondrial coupling and substrate use; Redox metabolism: Mitochondrial ROS regulation</x:v>
      </x:c>
      <x:c r="G212" s="23" t="str">
        <x:v>Influences mitochondrial membrane potential, ATP coupling and preference for glucose versus fatty-acid-derived substrates.; Often limits mitochondrial ROS accumulation by altering membrane potential/substrate oxidation.</x:v>
      </x:c>
      <x:c r="H212" s="23" t="str">
        <x:v>Contextual cell-death modifier</x:v>
      </x:c>
      <x:c r="I212" s="23" t="str">
        <x:v>Apoptosis / ferroptosis / oxidative death</x:v>
      </x:c>
      <x:c r="J212" s="23" t="str">
        <x:v>Mitochondrial redox modifier: UCP2-dependent changes in membrane potential and substrate use can reduce mitochondrial ROS and protect from apoptosis or lipid-peroxidation-associated death.</x:v>
      </x:c>
      <x:c r="K212" s="23" t="str">
        <x:v>Mitochondrial substrate/redox regulation</x:v>
      </x:c>
      <x:c r="L212" s="23" t="str">
        <x:v>Inner-mitochondrial-carrier protein influencing coupling, substrate selection and ROS production; precise physiological transport/uncoupling action is context dependent.</x:v>
      </x:c>
      <x:c r="M212" s="23" t="str">
        <x:v>High</x:v>
      </x:c>
      <x:c r="N212" s="23" t="str">
        <x:v>UCP2_2014; UNIPROT2025; FERRO2017; NCCD2018</x:v>
      </x:c>
      <x:c r="O212" s="23" t="str">
        <x:v>https://www.informatics.jax.org/quicksearch/summary?queryType=exactPhrase&amp;query=Ucp2</x:v>
      </x:c>
      <x:c r="P212" s="23" t="str">
        <x:v>https://www.uniprot.org/uniprotkb?query=%28gene_exact%3AUcp2%29+AND+%28organism_id%3A10090%29</x:v>
      </x:c>
      <x:c r="Q212" s="23" t="str">
        <x:v>https://www.ncbi.nlm.nih.gov/gene/?term=Ucp2%5Bgene%5D%20AND%20Mus%20musculus%5Borgn%5D</x:v>
      </x:c>
      <x:c r="R212" s="23" t="str">
        <x:v>https://reactome.org/content/query?q=Ucp2&amp;species=Mus%20musculus</x:v>
      </x:c>
      <x:c r="S212" s="23" t="str">
        <x:v>https://pubmed.ncbi.nlm.nih.gov/?term=(Ucp2%5BTitle%2FAbstract%5D)%20AND%20(mouse%20OR%20murine)</x:v>
      </x:c>
      <x:c r="T212" s="23" t="str"/>
    </x:row>
    <x:row r="213">
      <x:c r="A213" s="22" t="n">
        <x:v>210</x:v>
      </x:c>
      <x:c r="B213" s="23" t="str">
        <x:v>Vasp</x:v>
      </x:c>
      <x:c r="C213" s="23" t="str">
        <x:v>VASP</x:v>
      </x:c>
      <x:c r="D213" s="23" t="str">
        <x:v>Conserved symbol; human ortholog</x:v>
      </x:c>
      <x:c r="E213" s="23" t="str">
        <x:v>No curated metabolic role</x:v>
      </x:c>
      <x:c r="F213" s="23" t="str"/>
      <x:c r="G213" s="23" t="str"/>
      <x:c r="H213" s="23" t="str">
        <x:v>No curated cell-death relation</x:v>
      </x:c>
      <x:c r="I213" s="23" t="str"/>
      <x:c r="J213" s="23" t="str"/>
      <x:c r="K213" s="23" t="str">
        <x:v>Actin polymerization and adhesion</x:v>
      </x:c>
      <x:c r="L213" s="23" t="str">
        <x:v>Ena/VASP-family actin regulator promoting filament elongation and coordinating adhesion, migration and platelet responses.</x:v>
      </x:c>
      <x:c r="M213" s="23" t="str">
        <x:v>High</x:v>
      </x:c>
      <x:c r="N213" s="23" t="str"/>
      <x:c r="O213" s="23" t="str">
        <x:v>https://www.informatics.jax.org/quicksearch/summary?queryType=exactPhrase&amp;query=Vasp</x:v>
      </x:c>
      <x:c r="P213" s="23" t="str">
        <x:v>https://www.uniprot.org/uniprotkb?query=%28gene_exact%3AVasp%29+AND+%28organism_id%3A10090%29</x:v>
      </x:c>
      <x:c r="Q213" s="23" t="str">
        <x:v>https://www.ncbi.nlm.nih.gov/gene/?term=Vasp%5Bgene%5D%20AND%20Mus%20musculus%5Borgn%5D</x:v>
      </x:c>
      <x:c r="R213" s="23" t="str">
        <x:v>https://reactome.org/content/query?q=Vasp&amp;species=Mus%20musculus</x:v>
      </x:c>
      <x:c r="S213" s="23" t="str">
        <x:v>https://pubmed.ncbi.nlm.nih.gov/?term=(Vasp%5BTitle%2FAbstract%5D)%20AND%20(mouse%20OR%20murine)</x:v>
      </x:c>
      <x:c r="T213" s="23" t="str">
        <x:v>No sufficiently supported metabolism or cell-death role curated</x:v>
      </x:c>
    </x:row>
    <x:row r="214">
      <x:c r="A214" s="22" t="n">
        <x:v>211</x:v>
      </x:c>
      <x:c r="B214" s="23" t="str">
        <x:v>Vav1</x:v>
      </x:c>
      <x:c r="C214" s="23" t="str">
        <x:v>VAV1</x:v>
      </x:c>
      <x:c r="D214" s="23" t="str">
        <x:v>Conserved symbol; human ortholog</x:v>
      </x:c>
      <x:c r="E214" s="23" t="str">
        <x:v>No curated metabolic role</x:v>
      </x:c>
      <x:c r="F214" s="23" t="str"/>
      <x:c r="G214" s="23" t="str"/>
      <x:c r="H214" s="23" t="str">
        <x:v>No curated cell-death relation</x:v>
      </x:c>
      <x:c r="I214" s="23" t="str"/>
      <x:c r="J214" s="23" t="str"/>
      <x:c r="K214" s="23" t="str">
        <x:v>RHO-family GEF; immune-receptor signaling</x:v>
      </x:c>
      <x:c r="L214" s="23" t="str">
        <x:v>Hematopoietic guanine-nucleotide exchange factor/scaffold activated by antigen and ITAM receptors to control RAC, actin and transcription.</x:v>
      </x:c>
      <x:c r="M214" s="23" t="str">
        <x:v>High</x:v>
      </x:c>
      <x:c r="N214" s="23" t="str"/>
      <x:c r="O214" s="23" t="str">
        <x:v>https://www.informatics.jax.org/quicksearch/summary?queryType=exactPhrase&amp;query=Vav1</x:v>
      </x:c>
      <x:c r="P214" s="23" t="str">
        <x:v>https://www.uniprot.org/uniprotkb?query=%28gene_exact%3AVav1%29+AND+%28organism_id%3A10090%29</x:v>
      </x:c>
      <x:c r="Q214" s="23" t="str">
        <x:v>https://www.ncbi.nlm.nih.gov/gene/?term=Vav1%5Bgene%5D%20AND%20Mus%20musculus%5Borgn%5D</x:v>
      </x:c>
      <x:c r="R214" s="23" t="str">
        <x:v>https://reactome.org/content/query?q=Vav1&amp;species=Mus%20musculus</x:v>
      </x:c>
      <x:c r="S214" s="23" t="str">
        <x:v>https://pubmed.ncbi.nlm.nih.gov/?term=(Vav1%5BTitle%2FAbstract%5D)%20AND%20(mouse%20OR%20murine)</x:v>
      </x:c>
      <x:c r="T214" s="23" t="str">
        <x:v>No sufficiently supported metabolism or cell-death role curated</x:v>
      </x:c>
    </x:row>
    <x:row r="215">
      <x:c r="A215" s="22" t="n">
        <x:v>212</x:v>
      </x:c>
      <x:c r="B215" s="23" t="str">
        <x:v>Wdfy4</x:v>
      </x:c>
      <x:c r="C215" s="23" t="str">
        <x:v>WDFY4</x:v>
      </x:c>
      <x:c r="D215" s="23" t="str">
        <x:v>Conserved symbol; human ortholog</x:v>
      </x:c>
      <x:c r="E215" s="23" t="str">
        <x:v>No curated metabolic role</x:v>
      </x:c>
      <x:c r="F215" s="23" t="str"/>
      <x:c r="G215" s="23" t="str"/>
      <x:c r="H215" s="23" t="str">
        <x:v>No curated cell-death relation</x:v>
      </x:c>
      <x:c r="I215" s="23" t="str"/>
      <x:c r="J215" s="23" t="str"/>
      <x:c r="K215" s="23" t="str">
        <x:v>Antigen cross-presentation</x:v>
      </x:c>
      <x:c r="L215" s="23" t="str">
        <x:v>Large WD-repeat/FYVE-domain protein required in dendritic cells for efficient cross-presentation of cell-associated antigens to CD8 T cells.</x:v>
      </x:c>
      <x:c r="M215" s="23" t="str">
        <x:v>Moderate</x:v>
      </x:c>
      <x:c r="N215" s="23" t="str"/>
      <x:c r="O215" s="23" t="str">
        <x:v>https://www.informatics.jax.org/quicksearch/summary?queryType=exactPhrase&amp;query=Wdfy4</x:v>
      </x:c>
      <x:c r="P215" s="23" t="str">
        <x:v>https://www.uniprot.org/uniprotkb?query=%28gene_exact%3AWdfy4%29+AND+%28organism_id%3A10090%29</x:v>
      </x:c>
      <x:c r="Q215" s="23" t="str">
        <x:v>https://www.ncbi.nlm.nih.gov/gene/?term=Wdfy4%5Bgene%5D%20AND%20Mus%20musculus%5Borgn%5D</x:v>
      </x:c>
      <x:c r="R215" s="23" t="str">
        <x:v>https://reactome.org/content/query?q=Wdfy4&amp;species=Mus%20musculus</x:v>
      </x:c>
      <x:c r="S215" s="23" t="str">
        <x:v>https://pubmed.ncbi.nlm.nih.gov/?term=(Wdfy4%5BTitle%2FAbstract%5D)%20AND%20(mouse%20OR%20murine)</x:v>
      </x:c>
      <x:c r="T215" s="23" t="str">
        <x:v>No sufficiently supported metabolism or cell-death role curated</x:v>
      </x:c>
    </x:row>
    <x:row r="216">
      <x:c r="A216" s="22" t="n">
        <x:v>213</x:v>
      </x:c>
      <x:c r="B216" s="23" t="str">
        <x:v>Wfdc17</x:v>
      </x:c>
      <x:c r="C216" s="23" t="str"/>
      <x:c r="D216" s="23" t="str">
        <x:v>No high-confidence human ortholog retained; database predictions conflict</x:v>
      </x:c>
      <x:c r="E216" s="23" t="str">
        <x:v>No curated metabolic role</x:v>
      </x:c>
      <x:c r="F216" s="23" t="str"/>
      <x:c r="G216" s="23" t="str"/>
      <x:c r="H216" s="23" t="str">
        <x:v>No curated cell-death relation</x:v>
      </x:c>
      <x:c r="I216" s="23" t="str"/>
      <x:c r="J216" s="23" t="str"/>
      <x:c r="K216" s="23" t="str">
        <x:v>Activated macrophage/microglia secreted inhibitor; poorly characterized</x:v>
      </x:c>
      <x:c r="L216" s="23" t="str">
        <x:v>Mouse WAP-domain protein induced in activated macrophages/microglia; predicted serine-protease inhibitor with limited biochemical validation.</x:v>
      </x:c>
      <x:c r="M216" s="23" t="str">
        <x:v>Low</x:v>
      </x:c>
      <x:c r="N216" s="23" t="str"/>
      <x:c r="O216" s="23" t="str">
        <x:v>https://www.informatics.jax.org/quicksearch/summary?queryType=exactPhrase&amp;query=Wfdc17</x:v>
      </x:c>
      <x:c r="P216" s="23" t="str">
        <x:v>https://www.uniprot.org/uniprotkb?query=%28gene_exact%3AWfdc17%29+AND+%28organism_id%3A10090%29</x:v>
      </x:c>
      <x:c r="Q216" s="23" t="str">
        <x:v>https://www.ncbi.nlm.nih.gov/gene/?term=Wfdc17%5Bgene%5D%20AND%20Mus%20musculus%5Borgn%5D</x:v>
      </x:c>
      <x:c r="R216" s="23" t="str">
        <x:v>https://reactome.org/content/query?q=Wfdc17&amp;species=Mus%20musculus</x:v>
      </x:c>
      <x:c r="S216" s="23" t="str">
        <x:v>https://pubmed.ncbi.nlm.nih.gov/?term=(Wfdc17%5BTitle%2FAbstract%5D)%20AND%20(mouse%20OR%20murine)</x:v>
      </x:c>
      <x:c r="T216" s="23" t="str">
        <x:v>Orthology requires caution; Function is poorly characterized or mainly predicted; No sufficiently supported metabolism or cell-death role curated</x:v>
      </x:c>
    </x:row>
    <x:row r="217">
      <x:c r="A217" s="22" t="n">
        <x:v>214</x:v>
      </x:c>
      <x:c r="B217" s="23" t="str">
        <x:v>Xdh</x:v>
      </x:c>
      <x:c r="C217" s="23" t="str">
        <x:v>XDH</x:v>
      </x:c>
      <x:c r="D217" s="23" t="str">
        <x:v>Conserved symbol; human ortholog</x:v>
      </x:c>
      <x:c r="E217" s="23" t="str">
        <x:v>Direct biochemical/transport role</x:v>
      </x:c>
      <x:c r="F217" s="23" t="str">
        <x:v>Nucleotide and cofactor metabolism: Purine catabolism to urate; Redox metabolism: Xanthine-oxidoreductase ROS production</x:v>
      </x:c>
      <x:c r="G217" s="23" t="str">
        <x:v>Catalyzes hypoxanthine to xanthine and xanthine to urate, completing major purine-degradation steps in humans and mice.; Oxidase-form enzyme can reduce oxygen to superoxide/H2O2 during purine oxidation.</x:v>
      </x:c>
      <x:c r="H217" s="23" t="str">
        <x:v>Contextual cell-death modifier</x:v>
      </x:c>
      <x:c r="I217" s="23" t="str">
        <x:v>Oxidative cell injury / ferroptosis-apoptosis modulation</x:v>
      </x:c>
      <x:c r="J217" s="23" t="str">
        <x:v>ROS-generating metabolic enzyme: Xanthine-oxidase-form XDH produces superoxide/H2O2 that can amplify oxidative damage, lipid peroxidation and mitochondrial/caspase stress.</x:v>
      </x:c>
      <x:c r="K217" s="23" t="str">
        <x:v>Purine catabolism; oxidoreductase redox biology</x:v>
      </x:c>
      <x:c r="L217" s="23" t="str">
        <x:v>Xanthine oxidoreductase converts hypoxanthine to xanthine and xanthine to urate, using NAD+ or oxygen and potentially producing ROS.</x:v>
      </x:c>
      <x:c r="M217" s="23" t="str">
        <x:v>High</x:v>
      </x:c>
      <x:c r="N217" s="23" t="str">
        <x:v>XDH2020; UNIPROT2025; REACTOME2024; FERRO2017; NCCD2018</x:v>
      </x:c>
      <x:c r="O217" s="23" t="str">
        <x:v>https://www.informatics.jax.org/quicksearch/summary?queryType=exactPhrase&amp;query=Xdh</x:v>
      </x:c>
      <x:c r="P217" s="23" t="str">
        <x:v>https://www.uniprot.org/uniprotkb?query=%28gene_exact%3AXdh%29+AND+%28organism_id%3A10090%29</x:v>
      </x:c>
      <x:c r="Q217" s="23" t="str">
        <x:v>https://www.ncbi.nlm.nih.gov/gene/?term=Xdh%5Bgene%5D%20AND%20Mus%20musculus%5Borgn%5D</x:v>
      </x:c>
      <x:c r="R217" s="23" t="str">
        <x:v>https://reactome.org/content/query?q=Xdh&amp;species=Mus%20musculus</x:v>
      </x:c>
      <x:c r="S217" s="23" t="str">
        <x:v>https://pubmed.ncbi.nlm.nih.gov/?term=(Xdh%5BTitle%2FAbstract%5D)%20AND%20(mouse%20OR%20murine)</x:v>
      </x:c>
      <x:c r="T217" s="23" t="str"/>
    </x:row>
    <x:row r="218">
      <x:c r="A218" s="24" t="n">
        <x:v>215</x:v>
      </x:c>
      <x:c r="B218" s="25" t="str">
        <x:v>Ybx2</x:v>
      </x:c>
      <x:c r="C218" s="25" t="str">
        <x:v>YBX2</x:v>
      </x:c>
      <x:c r="D218" s="25" t="str">
        <x:v>Conserved symbol; human ortholog</x:v>
      </x:c>
      <x:c r="E218" s="25" t="str">
        <x:v>No curated metabolic role</x:v>
      </x:c>
      <x:c r="F218" s="25" t="str"/>
      <x:c r="G218" s="25" t="str"/>
      <x:c r="H218" s="25" t="str">
        <x:v>No curated cell-death relation</x:v>
      </x:c>
      <x:c r="I218" s="25" t="str"/>
      <x:c r="J218" s="25" t="str"/>
      <x:c r="K218" s="25" t="str">
        <x:v>Germ-cell mRNA storage and translation control</x:v>
      </x:c>
      <x:c r="L218" s="25" t="str">
        <x:v>Y-box RNA-binding protein that packages/stabilizes stored mRNAs and delays translation during spermatogenesis/oogenesis.</x:v>
      </x:c>
      <x:c r="M218" s="25" t="str">
        <x:v>High</x:v>
      </x:c>
      <x:c r="N218" s="25" t="str"/>
      <x:c r="O218" s="25" t="str">
        <x:v>https://www.informatics.jax.org/quicksearch/summary?queryType=exactPhrase&amp;query=Ybx2</x:v>
      </x:c>
      <x:c r="P218" s="25" t="str">
        <x:v>https://www.uniprot.org/uniprotkb?query=%28gene_exact%3AYbx2%29+AND+%28organism_id%3A10090%29</x:v>
      </x:c>
      <x:c r="Q218" s="25" t="str">
        <x:v>https://www.ncbi.nlm.nih.gov/gene/?term=Ybx2%5Bgene%5D%20AND%20Mus%20musculus%5Borgn%5D</x:v>
      </x:c>
      <x:c r="R218" s="25" t="str">
        <x:v>https://reactome.org/content/query?q=Ybx2&amp;species=Mus%20musculus</x:v>
      </x:c>
      <x:c r="S218" s="25" t="str">
        <x:v>https://pubmed.ncbi.nlm.nih.gov/?term=(Ybx2%5BTitle%2FAbstract%5D)%20AND%20(mouse%20OR%20murine)</x:v>
      </x:c>
      <x:c r="T218" s="25" t="str">
        <x:v>No sufficiently supported metabolism or cell-death role curated</x:v>
      </x:c>
    </x:row>
  </x:sheetData>
  <x:mergeCells>
    <x:mergeCell ref="A1:T1"/>
    <x:mergeCell ref="A2:T2"/>
  </x:mergeCells>
  <x:conditionalFormatting sqref="M4:M218">
    <x:cfRule type="containsText" dxfId="0" priority="1" operator="containsText" text="High"/>
    <x:cfRule type="containsText" dxfId="1" priority="2" operator="containsText" text="Moderate"/>
    <x:cfRule type="containsText" dxfId="2" priority="3" operator="containsText" text="Low"/>
  </x:conditionalFormatting>
  <x:conditionalFormatting sqref="E4:E218">
    <x:cfRule type="containsText" dxfId="12" priority="4" operator="containsText" text="Direct"/>
  </x:conditionalFormatting>
  <x:conditionalFormatting sqref="H4:H218">
    <x:cfRule type="containsText" dxfId="13" priority="5" operator="containsText" text="Mechanistic"/>
  </x:conditionalFormatting>
  <x:pageMargins left="0.7" right="0.7" top="0.75" bottom="0.75" header="0.3" footer="0.3"/>
  <x:tableParts count="1">
    <x:tablePart xmlns:r="http://schemas.openxmlformats.org/officeDocument/2006/relationships" r:id="R006e6c6193e242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1" hidden="0" customWidth="1"/>
    <x:col min="3" max="3" width="28" hidden="0" customWidth="1"/>
    <x:col min="4" max="4" width="32" hidden="0" customWidth="1"/>
    <x:col min="5" max="5" width="23" hidden="0" customWidth="1"/>
    <x:col min="6" max="6" width="23" hidden="0" customWidth="1"/>
    <x:col min="7" max="7" width="56" hidden="0" customWidth="1"/>
    <x:col min="8" max="8" width="50" hidden="0" customWidth="1"/>
    <x:col min="9" max="9" width="14" hidden="0" customWidth="1"/>
    <x:col min="10" max="10" width="25" hidden="0" customWidth="1"/>
    <x:col min="11" max="11" width="50" hidden="0" customWidth="1"/>
    <x:col min="12" max="12" width="40" hidden="0" customWidth="1"/>
    <x:col min="13" max="13" width="40" hidden="0" customWidth="1"/>
    <x:col min="14" max="14" width="40" hidden="0" customWidth="1"/>
  </x:cols>
  <x:sheetData>
    <x:row r="1" ht="26" customHeight="1">
      <x:c r="A1" s="42" t="str">
        <x:v>Metabolism-focused annotations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</x:row>
    <x:row r="2" ht="34" customHeight="1">
      <x:c r="A2" s="7" t="str">
        <x:v>One row per gene-metabolic relation. 'Direct' is reserved for enzymes, transporters, binding/transfer proteins, or obligatory complex components; regulatory and disputed relationships are explicitly labelled.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34" customHeight="1">
      <x:c r="A3" s="52" t="str">
        <x:v>Mouse symbol</x:v>
      </x:c>
      <x:c r="B3" s="53" t="str">
        <x:v>Human ortholog / analog</x:v>
      </x:c>
      <x:c r="C3" s="53" t="str">
        <x:v>Broad metabolic category</x:v>
      </x:c>
      <x:c r="D3" s="53" t="str">
        <x:v>Subpathway</x:v>
      </x:c>
      <x:c r="E3" s="53" t="str">
        <x:v>Role class</x:v>
      </x:c>
      <x:c r="F3" s="53" t="str">
        <x:v>Directness</x:v>
      </x:c>
      <x:c r="G3" s="53" t="str">
        <x:v>Exact function / relation</x:v>
      </x:c>
      <x:c r="H3" s="53" t="str">
        <x:v>Context / caveat</x:v>
      </x:c>
      <x:c r="I3" s="53" t="str">
        <x:v>Evidence strength</x:v>
      </x:c>
      <x:c r="J3" s="53" t="str">
        <x:v>Reference keys</x:v>
      </x:c>
      <x:c r="K3" s="53" t="str">
        <x:v>Peer-reviewed reference URL(s)</x:v>
      </x:c>
      <x:c r="L3" s="53" t="str">
        <x:v>MGI</x:v>
      </x:c>
      <x:c r="M3" s="53" t="str">
        <x:v>UniProt</x:v>
      </x:c>
      <x:c r="N3" s="53" t="str">
        <x:v>Reactome</x:v>
      </x:c>
    </x:row>
    <x:row r="4">
      <x:c r="A4" s="22" t="str">
        <x:v>Abcc3</x:v>
      </x:c>
      <x:c r="B4" s="23" t="str">
        <x:v>ABCC3</x:v>
      </x:c>
      <x:c r="C4" s="23" t="str">
        <x:v>Xenobiotic and endobiotic handling</x:v>
      </x:c>
      <x:c r="D4" s="23" t="str">
        <x:v>Conjugated metabolite and drug efflux</x:v>
      </x:c>
      <x:c r="E4" s="23" t="str">
        <x:v>ATP-dependent transporter</x:v>
      </x:c>
      <x:c r="F4" s="23" t="str">
        <x:v>Direct transport</x:v>
      </x:c>
      <x:c r="G4" s="23" t="str">
        <x:v>Exports glucuronide, sulfate and glutathione conjugates and multiple drugs, using ATP hydrolysis.</x:v>
      </x:c>
      <x:c r="H4" s="23" t="str">
        <x:v>Transport changes metabolite disposition but does not catalyze their chemical synthesis/degradation.</x:v>
      </x:c>
      <x:c r="I4" s="23" t="str">
        <x:v>High</x:v>
      </x:c>
      <x:c r="J4" s="23" t="str">
        <x:v>UNIPROT2025;REACTOME2024</x:v>
      </x:c>
      <x:c r="K4" s="23" t="str">
        <x:v>https://pubmed.ncbi.nlm.nih.gov/39552041/; https://pmc.ncbi.nlm.nih.gov/articles/PMC10767911/</x:v>
      </x:c>
      <x:c r="L4" s="23" t="str">
        <x:v>https://www.informatics.jax.org/quicksearch/summary?queryType=exactPhrase&amp;query=Abcc3</x:v>
      </x:c>
      <x:c r="M4" s="23" t="str">
        <x:v>https://www.uniprot.org/uniprotkb?query=%28gene_exact%3AAbcc3%29+AND+%28organism_id%3A10090%29</x:v>
      </x:c>
      <x:c r="N4" s="23" t="str">
        <x:v>https://reactome.org/content/query?q=Abcc3&amp;species=Mus%20musculus</x:v>
      </x:c>
    </x:row>
    <x:row r="5">
      <x:c r="A5" s="22" t="str">
        <x:v>Abcc3</x:v>
      </x:c>
      <x:c r="B5" s="23" t="str">
        <x:v>ABCC3</x:v>
      </x:c>
      <x:c r="C5" s="23" t="str">
        <x:v>Lipid, sterol and lipoprotein metabolism</x:v>
      </x:c>
      <x:c r="D5" s="23" t="str">
        <x:v>Bile-acid transport</x:v>
      </x:c>
      <x:c r="E5" s="23" t="str">
        <x:v>ATP-dependent transporter</x:v>
      </x:c>
      <x:c r="F5" s="23" t="str">
        <x:v>Direct transport</x:v>
      </x:c>
      <x:c r="G5" s="23" t="str">
        <x:v>Transports selected bile acids/conjugates across the plasma membrane and contributes to hepatobiliary endobiotic handling.</x:v>
      </x:c>
      <x:c r="H5" s="23" t="str">
        <x:v>Substrate importance varies by tissue and species.</x:v>
      </x:c>
      <x:c r="I5" s="23" t="str">
        <x:v>Moderate</x:v>
      </x:c>
      <x:c r="J5" s="23" t="str">
        <x:v>UNIPROT2025;REACTOME2024</x:v>
      </x:c>
      <x:c r="K5" s="23" t="str">
        <x:v>https://pubmed.ncbi.nlm.nih.gov/39552041/; https://pmc.ncbi.nlm.nih.gov/articles/PMC10767911/</x:v>
      </x:c>
      <x:c r="L5" s="23" t="str">
        <x:v>https://www.informatics.jax.org/quicksearch/summary?queryType=exactPhrase&amp;query=Abcc3</x:v>
      </x:c>
      <x:c r="M5" s="23" t="str">
        <x:v>https://www.uniprot.org/uniprotkb?query=%28gene_exact%3AAbcc3%29+AND+%28organism_id%3A10090%29</x:v>
      </x:c>
      <x:c r="N5" s="23" t="str">
        <x:v>https://reactome.org/content/query?q=Abcc3&amp;species=Mus%20musculus</x:v>
      </x:c>
    </x:row>
    <x:row r="6">
      <x:c r="A6" s="22" t="str">
        <x:v>Apobr</x:v>
      </x:c>
      <x:c r="B6" s="23" t="str">
        <x:v>APOBR</x:v>
      </x:c>
      <x:c r="C6" s="23" t="str">
        <x:v>Lipid, sterol and lipoprotein metabolism</x:v>
      </x:c>
      <x:c r="D6" s="23" t="str">
        <x:v>Triglyceride-rich lipoprotein uptake</x:v>
      </x:c>
      <x:c r="E6" s="23" t="str">
        <x:v>Cargo receptor</x:v>
      </x:c>
      <x:c r="F6" s="23" t="str">
        <x:v>Direct transport</x:v>
      </x:c>
      <x:c r="G6" s="23" t="str">
        <x:v>Binds and internalizes apoB48-containing chylomicron/VLDL remnants, delivering neutral lipid and cholesterol to macrophages.</x:v>
      </x:c>
      <x:c r="H6" s="23" t="str">
        <x:v>Can promote foam-cell lipid accumulation; it is a receptor, not a lipid-converting enzyme.</x:v>
      </x:c>
      <x:c r="I6" s="23" t="str">
        <x:v>High</x:v>
      </x:c>
      <x:c r="J6" s="23" t="str">
        <x:v>UNIPROT2025;NCBIGENE2015</x:v>
      </x:c>
      <x:c r="K6" s="23" t="str">
        <x:v>https://pubmed.ncbi.nlm.nih.gov/39552041/; https://pubmed.ncbi.nlm.nih.gov/25355515/</x:v>
      </x:c>
      <x:c r="L6" s="23" t="str">
        <x:v>https://www.informatics.jax.org/quicksearch/summary?queryType=exactPhrase&amp;query=Apobr</x:v>
      </x:c>
      <x:c r="M6" s="23" t="str">
        <x:v>https://www.uniprot.org/uniprotkb?query=%28gene_exact%3AApobr%29+AND+%28organism_id%3A10090%29</x:v>
      </x:c>
      <x:c r="N6" s="23" t="str">
        <x:v>https://reactome.org/content/query?q=Apobr&amp;species=Mus%20musculus</x:v>
      </x:c>
    </x:row>
    <x:row r="7">
      <x:c r="A7" s="22" t="str">
        <x:v>Calr</x:v>
      </x:c>
      <x:c r="B7" s="23" t="str">
        <x:v>CALR</x:v>
      </x:c>
      <x:c r="C7" s="23" t="str">
        <x:v>Protein turnover, processing and proteostasis</x:v>
      </x:c>
      <x:c r="D7" s="23" t="str">
        <x:v>ER glycoprotein folding/quality control</x:v>
      </x:c>
      <x:c r="E7" s="23" t="str">
        <x:v>Lectin chaperone</x:v>
      </x:c>
      <x:c r="F7" s="23" t="str">
        <x:v>Direct processing support</x:v>
      </x:c>
      <x:c r="G7" s="23" t="str">
        <x:v>Binds monoglucosylated N-glycans and supports folding/quality control of nascent glycoproteins in the calnexin-calreticulin cycle.</x:v>
      </x:c>
      <x:c r="H7" s="23" t="str">
        <x:v>Chaperone function is part of protein maturation/proteostasis, not energy metabolism.</x:v>
      </x:c>
      <x:c r="I7" s="23" t="str">
        <x:v>High</x:v>
      </x:c>
      <x:c r="J7" s="23" t="str">
        <x:v>UNIPROT2025;REACTOME2024</x:v>
      </x:c>
      <x:c r="K7" s="23" t="str">
        <x:v>https://pubmed.ncbi.nlm.nih.gov/39552041/; https://pmc.ncbi.nlm.nih.gov/articles/PMC10767911/</x:v>
      </x:c>
      <x:c r="L7" s="23" t="str">
        <x:v>https://www.informatics.jax.org/quicksearch/summary?queryType=exactPhrase&amp;query=Calr</x:v>
      </x:c>
      <x:c r="M7" s="23" t="str">
        <x:v>https://www.uniprot.org/uniprotkb?query=%28gene_exact%3ACalr%29+AND+%28organism_id%3A10090%29</x:v>
      </x:c>
      <x:c r="N7" s="23" t="str">
        <x:v>https://reactome.org/content/query?q=Calr&amp;species=Mus%20musculus</x:v>
      </x:c>
    </x:row>
    <x:row r="8">
      <x:c r="A8" s="22" t="str">
        <x:v>Calr</x:v>
      </x:c>
      <x:c r="B8" s="23" t="str">
        <x:v>CALR</x:v>
      </x:c>
      <x:c r="C8" s="23" t="str">
        <x:v>Ion homeostasis</x:v>
      </x:c>
      <x:c r="D8" s="23" t="str">
        <x:v>ER calcium storage</x:v>
      </x:c>
      <x:c r="E8" s="23" t="str">
        <x:v>Calcium-binding chaperone</x:v>
      </x:c>
      <x:c r="F8" s="23" t="str">
        <x:v>Direct homeostatic role</x:v>
      </x:c>
      <x:c r="G8" s="23" t="str">
        <x:v>Buffers luminal ER Ca2+ and thereby influences calcium-dependent signaling and stress responses.</x:v>
      </x:c>
      <x:c r="H8" s="23" t="str">
        <x:v>Relation to metabolism is homeostatic/regulatory.</x:v>
      </x:c>
      <x:c r="I8" s="23" t="str">
        <x:v>High</x:v>
      </x:c>
      <x:c r="J8" s="23" t="str">
        <x:v>UNIPROT2025</x:v>
      </x:c>
      <x:c r="K8" s="23" t="str">
        <x:v>https://pubmed.ncbi.nlm.nih.gov/39552041/</x:v>
      </x:c>
      <x:c r="L8" s="23" t="str">
        <x:v>https://www.informatics.jax.org/quicksearch/summary?queryType=exactPhrase&amp;query=Calr</x:v>
      </x:c>
      <x:c r="M8" s="23" t="str">
        <x:v>https://www.uniprot.org/uniprotkb?query=%28gene_exact%3ACalr%29+AND+%28organism_id%3A10090%29</x:v>
      </x:c>
      <x:c r="N8" s="23" t="str">
        <x:v>https://reactome.org/content/query?q=Calr&amp;species=Mus%20musculus</x:v>
      </x:c>
    </x:row>
    <x:row r="9">
      <x:c r="A9" s="22" t="str">
        <x:v>Capn3</x:v>
      </x:c>
      <x:c r="B9" s="23" t="str">
        <x:v>CAPN3</x:v>
      </x:c>
      <x:c r="C9" s="23" t="str">
        <x:v>Protein turnover, processing and proteostasis</x:v>
      </x:c>
      <x:c r="D9" s="23" t="str">
        <x:v>Calcium-dependent intracellular proteolysis</x:v>
      </x:c>
      <x:c r="E9" s="23" t="str">
        <x:v>Cysteine protease</x:v>
      </x:c>
      <x:c r="F9" s="23" t="str">
        <x:v>Direct biochemical</x:v>
      </x:c>
      <x:c r="G9" s="23" t="str">
        <x:v>Cleaves selected muscle/sarcomeric substrates during calcium-dependent remodeling.</x:v>
      </x:c>
      <x:c r="H9" s="23" t="str">
        <x:v>Muscle-enriched; relevance in a myeloid list should be checked for ambient RNA or unexpected biology.</x:v>
      </x:c>
      <x:c r="I9" s="23" t="str">
        <x:v>High</x:v>
      </x:c>
      <x:c r="J9" s="23" t="str">
        <x:v>UNIPROT2025</x:v>
      </x:c>
      <x:c r="K9" s="23" t="str">
        <x:v>https://pubmed.ncbi.nlm.nih.gov/39552041/</x:v>
      </x:c>
      <x:c r="L9" s="23" t="str">
        <x:v>https://www.informatics.jax.org/quicksearch/summary?queryType=exactPhrase&amp;query=Capn3</x:v>
      </x:c>
      <x:c r="M9" s="23" t="str">
        <x:v>https://www.uniprot.org/uniprotkb?query=%28gene_exact%3ACapn3%29+AND+%28organism_id%3A10090%29</x:v>
      </x:c>
      <x:c r="N9" s="23" t="str">
        <x:v>https://reactome.org/content/query?q=Capn3&amp;species=Mus%20musculus</x:v>
      </x:c>
    </x:row>
    <x:row r="10">
      <x:c r="A10" s="22" t="str">
        <x:v>Cebpa</x:v>
      </x:c>
      <x:c r="B10" s="23" t="str">
        <x:v>CEBPA</x:v>
      </x:c>
      <x:c r="C10" s="23" t="str">
        <x:v>Metabolic regulation and nutrient sensing</x:v>
      </x:c>
      <x:c r="D10" s="23" t="str">
        <x:v>Adipogenesis and lipid-storage transcription</x:v>
      </x:c>
      <x:c r="E10" s="23" t="str">
        <x:v>Transcriptional regulator</x:v>
      </x:c>
      <x:c r="F10" s="23" t="str">
        <x:v>Regulatory/contextual</x:v>
      </x:c>
      <x:c r="G10" s="23" t="str">
        <x:v>Drives adipocyte differentiation and expression of genes supporting lipid uptake/storage; also controls myeloid lineage programs.</x:v>
      </x:c>
      <x:c r="H10" s="23" t="str">
        <x:v>Not a metabolic enzyme; the dominant role in this list is likely lineage specification.</x:v>
      </x:c>
      <x:c r="I10" s="23" t="str">
        <x:v>High</x:v>
      </x:c>
      <x:c r="J10" s="23" t="str">
        <x:v>REACTOME2024</x:v>
      </x:c>
      <x:c r="K10" s="23" t="str">
        <x:v>https://pmc.ncbi.nlm.nih.gov/articles/PMC10767911/</x:v>
      </x:c>
      <x:c r="L10" s="23" t="str">
        <x:v>https://www.informatics.jax.org/quicksearch/summary?queryType=exactPhrase&amp;query=Cebpa</x:v>
      </x:c>
      <x:c r="M10" s="23" t="str">
        <x:v>https://www.uniprot.org/uniprotkb?query=%28gene_exact%3ACebpa%29+AND+%28organism_id%3A10090%29</x:v>
      </x:c>
      <x:c r="N10" s="23" t="str">
        <x:v>https://reactome.org/content/query?q=Cebpa&amp;species=Mus%20musculus</x:v>
      </x:c>
    </x:row>
    <x:row r="11">
      <x:c r="A11" s="22" t="str">
        <x:v>Cmklr1</x:v>
      </x:c>
      <x:c r="B11" s="23" t="str">
        <x:v>CMKLR1</x:v>
      </x:c>
      <x:c r="C11" s="23" t="str">
        <x:v>Metabolic regulation and nutrient sensing</x:v>
      </x:c>
      <x:c r="D11" s="23" t="str">
        <x:v>Adipokine/chemerin signaling</x:v>
      </x:c>
      <x:c r="E11" s="23" t="str">
        <x:v>GPCR</x:v>
      </x:c>
      <x:c r="F11" s="23" t="str">
        <x:v>Regulatory/contextual</x:v>
      </x:c>
      <x:c r="G11" s="23" t="str">
        <x:v>Chemerin receptor signaling can alter adipocyte function, insulin sensitivity and inflammatory metabolism.</x:v>
      </x:c>
      <x:c r="H11" s="23" t="str">
        <x:v>Effects depend strongly on ligand, tissue and disease model; not a metabolic catalyst.</x:v>
      </x:c>
      <x:c r="I11" s="23" t="str">
        <x:v>Moderate</x:v>
      </x:c>
      <x:c r="J11" s="23" t="str">
        <x:v>UNIPROT2025</x:v>
      </x:c>
      <x:c r="K11" s="23" t="str">
        <x:v>https://pubmed.ncbi.nlm.nih.gov/39552041/</x:v>
      </x:c>
      <x:c r="L11" s="23" t="str">
        <x:v>https://www.informatics.jax.org/quicksearch/summary?queryType=exactPhrase&amp;query=Cmklr1</x:v>
      </x:c>
      <x:c r="M11" s="23" t="str">
        <x:v>https://www.uniprot.org/uniprotkb?query=%28gene_exact%3ACmklr1%29+AND+%28organism_id%3A10090%29</x:v>
      </x:c>
      <x:c r="N11" s="23" t="str">
        <x:v>https://reactome.org/content/query?q=Cmklr1&amp;species=Mus%20musculus</x:v>
      </x:c>
    </x:row>
    <x:row r="12">
      <x:c r="A12" s="22" t="str">
        <x:v>Cndp2</x:v>
      </x:c>
      <x:c r="B12" s="23" t="str">
        <x:v>CNDP2</x:v>
      </x:c>
      <x:c r="C12" s="23" t="str">
        <x:v>Amino-acid and peptide metabolism</x:v>
      </x:c>
      <x:c r="D12" s="23" t="str">
        <x:v>Cytosolic dipeptide hydrolysis</x:v>
      </x:c>
      <x:c r="E12" s="23" t="str">
        <x:v>Metallodipeptidase</x:v>
      </x:c>
      <x:c r="F12" s="23" t="str">
        <x:v>Direct biochemical</x:v>
      </x:c>
      <x:c r="G12" s="23" t="str">
        <x:v>Hydrolyzes diverse cytosolic dipeptides, including carnosine-related substrates, releasing constituent amino acids.</x:v>
      </x:c>
      <x:c r="H12" s="23" t="str">
        <x:v>Substrate spectrum is broad and tissue dependent.</x:v>
      </x:c>
      <x:c r="I12" s="23" t="str">
        <x:v>High</x:v>
      </x:c>
      <x:c r="J12" s="23" t="str">
        <x:v>UNIPROT2025;REACTOME2024</x:v>
      </x:c>
      <x:c r="K12" s="23" t="str">
        <x:v>https://pubmed.ncbi.nlm.nih.gov/39552041/; https://pmc.ncbi.nlm.nih.gov/articles/PMC10767911/</x:v>
      </x:c>
      <x:c r="L12" s="23" t="str">
        <x:v>https://www.informatics.jax.org/quicksearch/summary?queryType=exactPhrase&amp;query=Cndp2</x:v>
      </x:c>
      <x:c r="M12" s="23" t="str">
        <x:v>https://www.uniprot.org/uniprotkb?query=%28gene_exact%3ACndp2%29+AND+%28organism_id%3A10090%29</x:v>
      </x:c>
      <x:c r="N12" s="23" t="str">
        <x:v>https://reactome.org/content/query?q=Cndp2&amp;species=Mus%20musculus</x:v>
      </x:c>
    </x:row>
    <x:row r="13">
      <x:c r="A13" s="22" t="str">
        <x:v>Ctsc</x:v>
      </x:c>
      <x:c r="B13" s="23" t="str">
        <x:v>CTSC</x:v>
      </x:c>
      <x:c r="C13" s="23" t="str">
        <x:v>Protein turnover, processing and proteostasis</x:v>
      </x:c>
      <x:c r="D13" s="23" t="str">
        <x:v>Lysosomal peptide catabolism and granule-protease activation</x:v>
      </x:c>
      <x:c r="E13" s="23" t="str">
        <x:v>Cysteine dipeptidyl peptidase</x:v>
      </x:c>
      <x:c r="F13" s="23" t="str">
        <x:v>Direct biochemical</x:v>
      </x:c>
      <x:c r="G13" s="23" t="str">
        <x:v>Removes N-terminal dipeptides from proteins/peptides and activates neutrophil and cytotoxic-lymphocyte granule serine proteases.</x:v>
      </x:c>
      <x:c r="H13" s="23" t="str">
        <x:v>Activation of effector proteases is protein processing, not simply bulk degradation.</x:v>
      </x:c>
      <x:c r="I13" s="23" t="str">
        <x:v>High</x:v>
      </x:c>
      <x:c r="J13" s="23" t="str">
        <x:v>UNIPROT2025;REACTOME2024</x:v>
      </x:c>
      <x:c r="K13" s="23" t="str">
        <x:v>https://pubmed.ncbi.nlm.nih.gov/39552041/; https://pmc.ncbi.nlm.nih.gov/articles/PMC10767911/</x:v>
      </x:c>
      <x:c r="L13" s="23" t="str">
        <x:v>https://www.informatics.jax.org/quicksearch/summary?queryType=exactPhrase&amp;query=Ctsc</x:v>
      </x:c>
      <x:c r="M13" s="23" t="str">
        <x:v>https://www.uniprot.org/uniprotkb?query=%28gene_exact%3ACtsc%29+AND+%28organism_id%3A10090%29</x:v>
      </x:c>
      <x:c r="N13" s="23" t="str">
        <x:v>https://reactome.org/content/query?q=Ctsc&amp;species=Mus%20musculus</x:v>
      </x:c>
    </x:row>
    <x:row r="14">
      <x:c r="A14" s="22" t="str">
        <x:v>Ctsd</x:v>
      </x:c>
      <x:c r="B14" s="23" t="str">
        <x:v>CTSD</x:v>
      </x:c>
      <x:c r="C14" s="23" t="str">
        <x:v>Protein turnover, processing and proteostasis</x:v>
      </x:c>
      <x:c r="D14" s="23" t="str">
        <x:v>Lysosomal protein catabolism</x:v>
      </x:c>
      <x:c r="E14" s="23" t="str">
        <x:v>Aspartyl endopeptidase</x:v>
      </x:c>
      <x:c r="F14" s="23" t="str">
        <x:v>Direct biochemical</x:v>
      </x:c>
      <x:c r="G14" s="23" t="str">
        <x:v>Hydrolyzes proteins in acidic lysosomes and processes selected precursors.</x:v>
      </x:c>
      <x:c r="H14" s="23" t="str">
        <x:v>Broad lysosomal role; death-related cytosolic activity requires lysosomal membrane permeabilization.</x:v>
      </x:c>
      <x:c r="I14" s="23" t="str">
        <x:v>High</x:v>
      </x:c>
      <x:c r="J14" s="23" t="str">
        <x:v>UNIPROT2025;REACTOME2024;CTSD2001</x:v>
      </x:c>
      <x:c r="K14" s="23" t="str">
        <x:v>https://pubmed.ncbi.nlm.nih.gov/39552041/; https://pmc.ncbi.nlm.nih.gov/articles/PMC10767911/; https://pubmed.ncbi.nlm.nih.gov/11427495/</x:v>
      </x:c>
      <x:c r="L14" s="23" t="str">
        <x:v>https://www.informatics.jax.org/quicksearch/summary?queryType=exactPhrase&amp;query=Ctsd</x:v>
      </x:c>
      <x:c r="M14" s="23" t="str">
        <x:v>https://www.uniprot.org/uniprotkb?query=%28gene_exact%3ACtsd%29+AND+%28organism_id%3A10090%29</x:v>
      </x:c>
      <x:c r="N14" s="23" t="str">
        <x:v>https://reactome.org/content/query?q=Ctsd&amp;species=Mus%20musculus</x:v>
      </x:c>
    </x:row>
    <x:row r="15">
      <x:c r="A15" s="22" t="str">
        <x:v>Ctsh</x:v>
      </x:c>
      <x:c r="B15" s="23" t="str">
        <x:v>CTSH</x:v>
      </x:c>
      <x:c r="C15" s="23" t="str">
        <x:v>Protein turnover, processing and proteostasis</x:v>
      </x:c>
      <x:c r="D15" s="23" t="str">
        <x:v>Lysosomal protein/peptide catabolism</x:v>
      </x:c>
      <x:c r="E15" s="23" t="str">
        <x:v>Cysteine aminopeptidase/endopeptidase</x:v>
      </x:c>
      <x:c r="F15" s="23" t="str">
        <x:v>Direct biochemical</x:v>
      </x:c>
      <x:c r="G15" s="23" t="str">
        <x:v>Removes N-terminal residues and cleaves internal peptide bonds in lysosomal substrates.</x:v>
      </x:c>
      <x:c r="H15" s="23" t="str">
        <x:v>Also contributes to antigen processing.</x:v>
      </x:c>
      <x:c r="I15" s="23" t="str">
        <x:v>High</x:v>
      </x:c>
      <x:c r="J15" s="23" t="str">
        <x:v>UNIPROT2025</x:v>
      </x:c>
      <x:c r="K15" s="23" t="str">
        <x:v>https://pubmed.ncbi.nlm.nih.gov/39552041/</x:v>
      </x:c>
      <x:c r="L15" s="23" t="str">
        <x:v>https://www.informatics.jax.org/quicksearch/summary?queryType=exactPhrase&amp;query=Ctsh</x:v>
      </x:c>
      <x:c r="M15" s="23" t="str">
        <x:v>https://www.uniprot.org/uniprotkb?query=%28gene_exact%3ACtsh%29+AND+%28organism_id%3A10090%29</x:v>
      </x:c>
      <x:c r="N15" s="23" t="str">
        <x:v>https://reactome.org/content/query?q=Ctsh&amp;species=Mus%20musculus</x:v>
      </x:c>
    </x:row>
    <x:row r="16">
      <x:c r="A16" s="22" t="str">
        <x:v>Ctsz</x:v>
      </x:c>
      <x:c r="B16" s="23" t="str">
        <x:v>CTSZ</x:v>
      </x:c>
      <x:c r="C16" s="23" t="str">
        <x:v>Protein turnover, processing and proteostasis</x:v>
      </x:c>
      <x:c r="D16" s="23" t="str">
        <x:v>Lysosomal peptide catabolism</x:v>
      </x:c>
      <x:c r="E16" s="23" t="str">
        <x:v>Cysteine carboxypeptidase</x:v>
      </x:c>
      <x:c r="F16" s="23" t="str">
        <x:v>Direct biochemical</x:v>
      </x:c>
      <x:c r="G16" s="23" t="str">
        <x:v>Removes C-terminal amino acids from peptide/protein substrates in lysosomes.</x:v>
      </x:c>
      <x:c r="H16" s="23" t="str">
        <x:v>Noncatalytic integrin interactions contribute separately to adhesion.</x:v>
      </x:c>
      <x:c r="I16" s="23" t="str">
        <x:v>High</x:v>
      </x:c>
      <x:c r="J16" s="23" t="str">
        <x:v>UNIPROT2025</x:v>
      </x:c>
      <x:c r="K16" s="23" t="str">
        <x:v>https://pubmed.ncbi.nlm.nih.gov/39552041/</x:v>
      </x:c>
      <x:c r="L16" s="23" t="str">
        <x:v>https://www.informatics.jax.org/quicksearch/summary?queryType=exactPhrase&amp;query=Ctsz</x:v>
      </x:c>
      <x:c r="M16" s="23" t="str">
        <x:v>https://www.uniprot.org/uniprotkb?query=%28gene_exact%3ACtsz%29+AND+%28organism_id%3A10090%29</x:v>
      </x:c>
      <x:c r="N16" s="23" t="str">
        <x:v>https://reactome.org/content/query?q=Ctsz&amp;species=Mus%20musculus</x:v>
      </x:c>
    </x:row>
    <x:row r="17">
      <x:c r="A17" s="22" t="str">
        <x:v>Cybb</x:v>
      </x:c>
      <x:c r="B17" s="23" t="str">
        <x:v>CYBB</x:v>
      </x:c>
      <x:c r="C17" s="23" t="str">
        <x:v>Redox metabolism</x:v>
      </x:c>
      <x:c r="D17" s="23" t="str">
        <x:v>NOX2 respiratory burst</x:v>
      </x:c>
      <x:c r="E17" s="23" t="str">
        <x:v>NADPH oxidoreductase catalytic subunit</x:v>
      </x:c>
      <x:c r="F17" s="23" t="str">
        <x:v>Direct biochemical</x:v>
      </x:c>
      <x:c r="G17" s="23" t="str">
        <x:v>Transfers electrons from cytosolic NADPH to oxygen to produce superoxide in phagosomes or at the plasma membrane.</x:v>
      </x:c>
      <x:c r="H17" s="23" t="str">
        <x:v>ROS are antimicrobial metabolites and signaling molecules but can also cause host oxidative damage.</x:v>
      </x:c>
      <x:c r="I17" s="23" t="str">
        <x:v>High</x:v>
      </x:c>
      <x:c r="J17" s="23" t="str">
        <x:v>NOX2_2010;UNIPROT2025</x:v>
      </x:c>
      <x:c r="K17" s="23" t="str">
        <x:v>https://pubmed.ncbi.nlm.nih.gov/20803017/; https://pubmed.ncbi.nlm.nih.gov/39552041/</x:v>
      </x:c>
      <x:c r="L17" s="23" t="str">
        <x:v>https://www.informatics.jax.org/quicksearch/summary?queryType=exactPhrase&amp;query=Cybb</x:v>
      </x:c>
      <x:c r="M17" s="23" t="str">
        <x:v>https://www.uniprot.org/uniprotkb?query=%28gene_exact%3ACybb%29+AND+%28organism_id%3A10090%29</x:v>
      </x:c>
      <x:c r="N17" s="23" t="str">
        <x:v>https://reactome.org/content/query?q=Cybb&amp;species=Mus%20musculus</x:v>
      </x:c>
    </x:row>
    <x:row r="18">
      <x:c r="A18" s="22" t="str">
        <x:v>Ddost</x:v>
      </x:c>
      <x:c r="B18" s="23" t="str">
        <x:v>DDOST</x:v>
      </x:c>
      <x:c r="C18" s="23" t="str">
        <x:v>Glycan and glycoprotein metabolism</x:v>
      </x:c>
      <x:c r="D18" s="23" t="str">
        <x:v>N-linked glycosylation</x:v>
      </x:c>
      <x:c r="E18" s="23" t="str">
        <x:v>Oligosaccharyltransferase subunit</x:v>
      </x:c>
      <x:c r="F18" s="23" t="str">
        <x:v>Direct processing support</x:v>
      </x:c>
      <x:c r="G18" s="23" t="str">
        <x:v>Contributes to transfer of a preassembled oligosaccharide from dolichol donor to asparagine residues of nascent ER proteins.</x:v>
      </x:c>
      <x:c r="H18" s="23" t="str">
        <x:v>DDOST is a complex subunit rather than the sole catalytic entity.</x:v>
      </x:c>
      <x:c r="I18" s="23" t="str">
        <x:v>High</x:v>
      </x:c>
      <x:c r="J18" s="23" t="str">
        <x:v>REACTOME2024;UNIPROT2025</x:v>
      </x:c>
      <x:c r="K18" s="23" t="str">
        <x:v>https://pmc.ncbi.nlm.nih.gov/articles/PMC10767911/; https://pubmed.ncbi.nlm.nih.gov/39552041/</x:v>
      </x:c>
      <x:c r="L18" s="23" t="str">
        <x:v>https://www.informatics.jax.org/quicksearch/summary?queryType=exactPhrase&amp;query=Ddost</x:v>
      </x:c>
      <x:c r="M18" s="23" t="str">
        <x:v>https://www.uniprot.org/uniprotkb?query=%28gene_exact%3ADdost%29+AND+%28organism_id%3A10090%29</x:v>
      </x:c>
      <x:c r="N18" s="23" t="str">
        <x:v>https://reactome.org/content/query?q=Ddost&amp;species=Mus%20musculus</x:v>
      </x:c>
    </x:row>
    <x:row r="19">
      <x:c r="A19" s="22" t="str">
        <x:v>Erp29</x:v>
      </x:c>
      <x:c r="B19" s="23" t="str">
        <x:v>ERP29</x:v>
      </x:c>
      <x:c r="C19" s="23" t="str">
        <x:v>Protein turnover, processing and proteostasis</x:v>
      </x:c>
      <x:c r="D19" s="23" t="str">
        <x:v>ER folding and secretory trafficking</x:v>
      </x:c>
      <x:c r="E19" s="23" t="str">
        <x:v>Chaperone-like protein</x:v>
      </x:c>
      <x:c r="F19" s="23" t="str">
        <x:v>Direct processing support</x:v>
      </x:c>
      <x:c r="G19" s="23" t="str">
        <x:v>Assists folding and ER export of selected secreted/membrane proteins.</x:v>
      </x:c>
      <x:c r="H19" s="23" t="str">
        <x:v>Lacks the classical CXXC thioredoxin catalytic motif; should not be called a disulfide isomerase enzyme.</x:v>
      </x:c>
      <x:c r="I19" s="23" t="str">
        <x:v>Moderate</x:v>
      </x:c>
      <x:c r="J19" s="23" t="str">
        <x:v>UNIPROT2025</x:v>
      </x:c>
      <x:c r="K19" s="23" t="str">
        <x:v>https://pubmed.ncbi.nlm.nih.gov/39552041/</x:v>
      </x:c>
      <x:c r="L19" s="23" t="str">
        <x:v>https://www.informatics.jax.org/quicksearch/summary?queryType=exactPhrase&amp;query=Erp29</x:v>
      </x:c>
      <x:c r="M19" s="23" t="str">
        <x:v>https://www.uniprot.org/uniprotkb?query=%28gene_exact%3AErp29%29+AND+%28organism_id%3A10090%29</x:v>
      </x:c>
      <x:c r="N19" s="23" t="str">
        <x:v>https://reactome.org/content/query?q=Erp29&amp;species=Mus%20musculus</x:v>
      </x:c>
    </x:row>
    <x:row r="20">
      <x:c r="A20" s="22" t="str">
        <x:v>Fgfr4</x:v>
      </x:c>
      <x:c r="B20" s="23" t="str">
        <x:v>FGFR4</x:v>
      </x:c>
      <x:c r="C20" s="23" t="str">
        <x:v>Lipid, sterol and lipoprotein metabolism</x:v>
      </x:c>
      <x:c r="D20" s="23" t="str">
        <x:v>FGF15/19 control of bile-acid synthesis</x:v>
      </x:c>
      <x:c r="E20" s="23" t="str">
        <x:v>Receptor tyrosine kinase</x:v>
      </x:c>
      <x:c r="F20" s="23" t="str">
        <x:v>Upstream regulatory</x:v>
      </x:c>
      <x:c r="G20" s="23" t="str">
        <x:v>Hepatic FGFR4-KLB signaling suppresses CYP7A1-dependent de novo bile-acid synthesis in response to endocrine FGF15/19.</x:v>
      </x:c>
      <x:c r="H20" s="23" t="str">
        <x:v>Receptor-mediated regulation; FGFR4 does not itself synthesize or transport bile acids.</x:v>
      </x:c>
      <x:c r="I20" s="23" t="str">
        <x:v>High</x:v>
      </x:c>
      <x:c r="J20" s="23" t="str">
        <x:v>FGFR4_2011;REACTOME2024</x:v>
      </x:c>
      <x:c r="K20" s="23" t="str">
        <x:v>https://pubmed.ncbi.nlm.nih.gov/21437243/; https://pmc.ncbi.nlm.nih.gov/articles/PMC10767911/</x:v>
      </x:c>
      <x:c r="L20" s="23" t="str">
        <x:v>https://www.informatics.jax.org/quicksearch/summary?queryType=exactPhrase&amp;query=Fgfr4</x:v>
      </x:c>
      <x:c r="M20" s="23" t="str">
        <x:v>https://www.uniprot.org/uniprotkb?query=%28gene_exact%3AFgfr4%29+AND+%28organism_id%3A10090%29</x:v>
      </x:c>
      <x:c r="N20" s="23" t="str">
        <x:v>https://reactome.org/content/query?q=Fgfr4&amp;species=Mus%20musculus</x:v>
      </x:c>
    </x:row>
    <x:row r="21">
      <x:c r="A21" s="22" t="str">
        <x:v>Grn</x:v>
      </x:c>
      <x:c r="B21" s="23" t="str">
        <x:v>GRN</x:v>
      </x:c>
      <x:c r="C21" s="23" t="str">
        <x:v>Lysosomal metabolism</x:v>
      </x:c>
      <x:c r="D21" s="23" t="str">
        <x:v>Lysosome homeostasis</x:v>
      </x:c>
      <x:c r="E21" s="23" t="str">
        <x:v>Lysosomal/secreted regulator</x:v>
      </x:c>
      <x:c r="F21" s="23" t="str">
        <x:v>Regulatory/contextual</x:v>
      </x:c>
      <x:c r="G21" s="23" t="str">
        <x:v>Progranulin supports lysosomal acidification, enzyme function and lipid/protein homeostasis; loss causes lysosomal dysfunction.</x:v>
      </x:c>
      <x:c r="H21" s="23" t="str">
        <x:v>Multiple granulins and extracellular trophic effects complicate a single mechanistic label.</x:v>
      </x:c>
      <x:c r="I21" s="23" t="str">
        <x:v>Moderate</x:v>
      </x:c>
      <x:c r="J21" s="23" t="str">
        <x:v>UNIPROT2025</x:v>
      </x:c>
      <x:c r="K21" s="23" t="str">
        <x:v>https://pubmed.ncbi.nlm.nih.gov/39552041/</x:v>
      </x:c>
      <x:c r="L21" s="23" t="str">
        <x:v>https://www.informatics.jax.org/quicksearch/summary?queryType=exactPhrase&amp;query=Grn</x:v>
      </x:c>
      <x:c r="M21" s="23" t="str">
        <x:v>https://www.uniprot.org/uniprotkb?query=%28gene_exact%3AGrn%29+AND+%28organism_id%3A10090%29</x:v>
      </x:c>
      <x:c r="N21" s="23" t="str">
        <x:v>https://reactome.org/content/query?q=Grn&amp;species=Mus%20musculus</x:v>
      </x:c>
    </x:row>
    <x:row r="22">
      <x:c r="A22" s="22" t="str">
        <x:v>Hcar2</x:v>
      </x:c>
      <x:c r="B22" s="23" t="str">
        <x:v>HCAR2</x:v>
      </x:c>
      <x:c r="C22" s="23" t="str">
        <x:v>Lipid, sterol and lipoprotein metabolism</x:v>
      </x:c>
      <x:c r="D22" s="23" t="str">
        <x:v>Inhibition of adipocyte lipolysis</x:v>
      </x:c>
      <x:c r="E22" s="23" t="str">
        <x:v>Metabolite-sensing GPCR</x:v>
      </x:c>
      <x:c r="F22" s="23" t="str">
        <x:v>Upstream regulatory</x:v>
      </x:c>
      <x:c r="G22" s="23" t="str">
        <x:v>Activation by nicotinic acid or beta-hydroxybutyrate lowers cAMP and suppresses hormone-sensitive-lipase-driven triglyceride mobilization.</x:v>
      </x:c>
      <x:c r="H22" s="23" t="str">
        <x:v>Antilipolytic signaling is well supported, but niacin's long-term plasma-lipid efficacy is not explained solely by HCAR2.</x:v>
      </x:c>
      <x:c r="I22" s="23" t="str">
        <x:v>High</x:v>
      </x:c>
      <x:c r="J22" s="23" t="str">
        <x:v>UNIPROT2025</x:v>
      </x:c>
      <x:c r="K22" s="23" t="str">
        <x:v>https://pubmed.ncbi.nlm.nih.gov/39552041/</x:v>
      </x:c>
      <x:c r="L22" s="23" t="str">
        <x:v>https://www.informatics.jax.org/quicksearch/summary?queryType=exactPhrase&amp;query=Hcar2</x:v>
      </x:c>
      <x:c r="M22" s="23" t="str">
        <x:v>https://www.uniprot.org/uniprotkb?query=%28gene_exact%3AHcar2%29+AND+%28organism_id%3A10090%29</x:v>
      </x:c>
      <x:c r="N22" s="23" t="str">
        <x:v>https://reactome.org/content/query?q=Hcar2&amp;species=Mus%20musculus</x:v>
      </x:c>
    </x:row>
    <x:row r="23">
      <x:c r="A23" s="22" t="str">
        <x:v>Hcar2</x:v>
      </x:c>
      <x:c r="B23" s="23" t="str">
        <x:v>HCAR2</x:v>
      </x:c>
      <x:c r="C23" s="23" t="str">
        <x:v>Metabolic regulation and nutrient sensing</x:v>
      </x:c>
      <x:c r="D23" s="23" t="str">
        <x:v>Ketone-body sensing</x:v>
      </x:c>
      <x:c r="E23" s="23" t="str">
        <x:v>Metabolite-sensing GPCR</x:v>
      </x:c>
      <x:c r="F23" s="23" t="str">
        <x:v>Direct sensing/regulatory</x:v>
      </x:c>
      <x:c r="G23" s="23" t="str">
        <x:v>Recognizes beta-hydroxybutyrate as an endogenous ligand linking fasting/ketosis to immune and adipose signaling.</x:v>
      </x:c>
      <x:c r="H23" s="23" t="str">
        <x:v>Does not enzymatically metabolize ketone bodies.</x:v>
      </x:c>
      <x:c r="I23" s="23" t="str">
        <x:v>High</x:v>
      </x:c>
      <x:c r="J23" s="23" t="str">
        <x:v>UNIPROT2025</x:v>
      </x:c>
      <x:c r="K23" s="23" t="str">
        <x:v>https://pubmed.ncbi.nlm.nih.gov/39552041/</x:v>
      </x:c>
      <x:c r="L23" s="23" t="str">
        <x:v>https://www.informatics.jax.org/quicksearch/summary?queryType=exactPhrase&amp;query=Hcar2</x:v>
      </x:c>
      <x:c r="M23" s="23" t="str">
        <x:v>https://www.uniprot.org/uniprotkb?query=%28gene_exact%3AHcar2%29+AND+%28organism_id%3A10090%29</x:v>
      </x:c>
      <x:c r="N23" s="23" t="str">
        <x:v>https://reactome.org/content/query?q=Hcar2&amp;species=Mus%20musculus</x:v>
      </x:c>
    </x:row>
    <x:row r="24">
      <x:c r="A24" s="22" t="str">
        <x:v>Hk3</x:v>
      </x:c>
      <x:c r="B24" s="23" t="str">
        <x:v>HK3</x:v>
      </x:c>
      <x:c r="C24" s="23" t="str">
        <x:v>Carbohydrate and central-carbon metabolism</x:v>
      </x:c>
      <x:c r="D24" s="23" t="str">
        <x:v>Glycolysis/glucose phosphorylation</x:v>
      </x:c>
      <x:c r="E24" s="23" t="str">
        <x:v>Hexokinase</x:v>
      </x:c>
      <x:c r="F24" s="23" t="str">
        <x:v>Direct biochemical</x:v>
      </x:c>
      <x:c r="G24" s="23" t="str">
        <x:v>Catalyzes glucose + ATP to glucose-6-phosphate + ADP, retaining glucose in the cell for glycolysis, pentose-phosphate pathway or glycogen synthesis.</x:v>
      </x:c>
      <x:c r="H24" s="23" t="str">
        <x:v>HK3 is prominent in myeloid cells; flux contribution depends on substrate and other hexokinases.</x:v>
      </x:c>
      <x:c r="I24" s="23" t="str">
        <x:v>High</x:v>
      </x:c>
      <x:c r="J24" s="23" t="str">
        <x:v>UNIPROT2025;REACTOME2024</x:v>
      </x:c>
      <x:c r="K24" s="23" t="str">
        <x:v>https://pubmed.ncbi.nlm.nih.gov/39552041/; https://pmc.ncbi.nlm.nih.gov/articles/PMC10767911/</x:v>
      </x:c>
      <x:c r="L24" s="23" t="str">
        <x:v>https://www.informatics.jax.org/quicksearch/summary?queryType=exactPhrase&amp;query=Hk3</x:v>
      </x:c>
      <x:c r="M24" s="23" t="str">
        <x:v>https://www.uniprot.org/uniprotkb?query=%28gene_exact%3AHk3%29+AND+%28organism_id%3A10090%29</x:v>
      </x:c>
      <x:c r="N24" s="23" t="str">
        <x:v>https://reactome.org/content/query?q=Hk3&amp;species=Mus%20musculus</x:v>
      </x:c>
    </x:row>
    <x:row r="25">
      <x:c r="A25" s="22" t="str">
        <x:v>Hp</x:v>
      </x:c>
      <x:c r="B25" s="23" t="str">
        <x:v>HP</x:v>
      </x:c>
      <x:c r="C25" s="23" t="str">
        <x:v>Metal, iron and heme homeostasis</x:v>
      </x:c>
      <x:c r="D25" s="23" t="str">
        <x:v>Hemoglobin/heme scavenging</x:v>
      </x:c>
      <x:c r="E25" s="23" t="str">
        <x:v>Extracellular binding and clearance protein</x:v>
      </x:c>
      <x:c r="F25" s="23" t="str">
        <x:v>Direct transport/clearance</x:v>
      </x:c>
      <x:c r="G25" s="23" t="str">
        <x:v>Binds cell-free hemoglobin, limits heme iron-mediated oxidation and promotes CD163-dependent clearance.</x:v>
      </x:c>
      <x:c r="H25" s="23" t="str">
        <x:v>Acts in systemic/extracellular heme handling rather than intracellular iron enzymology.</x:v>
      </x:c>
      <x:c r="I25" s="23" t="str">
        <x:v>High</x:v>
      </x:c>
      <x:c r="J25" s="23" t="str">
        <x:v>UNIPROT2025;REACTOME2024</x:v>
      </x:c>
      <x:c r="K25" s="23" t="str">
        <x:v>https://pubmed.ncbi.nlm.nih.gov/39552041/; https://pmc.ncbi.nlm.nih.gov/articles/PMC10767911/</x:v>
      </x:c>
      <x:c r="L25" s="23" t="str">
        <x:v>https://www.informatics.jax.org/quicksearch/summary?queryType=exactPhrase&amp;query=Hp</x:v>
      </x:c>
      <x:c r="M25" s="23" t="str">
        <x:v>https://www.uniprot.org/uniprotkb?query=%28gene_exact%3AHp%29+AND+%28organism_id%3A10090%29</x:v>
      </x:c>
      <x:c r="N25" s="23" t="str">
        <x:v>https://reactome.org/content/query?q=Hp&amp;species=Mus%20musculus</x:v>
      </x:c>
    </x:row>
    <x:row r="26">
      <x:c r="A26" s="22" t="str">
        <x:v>Hspbp1</x:v>
      </x:c>
      <x:c r="B26" s="23" t="str">
        <x:v>HSPBP1</x:v>
      </x:c>
      <x:c r="C26" s="23" t="str">
        <x:v>Protein turnover, processing and proteostasis</x:v>
      </x:c>
      <x:c r="D26" s="23" t="str">
        <x:v>HSP70 chaperone cycle</x:v>
      </x:c>
      <x:c r="E26" s="23" t="str">
        <x:v>Co-chaperone/nucleotide-exchange regulator</x:v>
      </x:c>
      <x:c r="F26" s="23" t="str">
        <x:v>Direct processing support</x:v>
      </x:c>
      <x:c r="G26" s="23" t="str">
        <x:v>Modulates HSP70 nucleotide cycling and client-protein folding or degradation decisions.</x:v>
      </x:c>
      <x:c r="H26" s="23" t="str">
        <x:v>Proteostasis annotation; not a metabolic enzyme.</x:v>
      </x:c>
      <x:c r="I26" s="23" t="str">
        <x:v>Moderate</x:v>
      </x:c>
      <x:c r="J26" s="23" t="str">
        <x:v>UNIPROT2025</x:v>
      </x:c>
      <x:c r="K26" s="23" t="str">
        <x:v>https://pubmed.ncbi.nlm.nih.gov/39552041/</x:v>
      </x:c>
      <x:c r="L26" s="23" t="str">
        <x:v>https://www.informatics.jax.org/quicksearch/summary?queryType=exactPhrase&amp;query=Hspbp1</x:v>
      </x:c>
      <x:c r="M26" s="23" t="str">
        <x:v>https://www.uniprot.org/uniprotkb?query=%28gene_exact%3AHspbp1%29+AND+%28organism_id%3A10090%29</x:v>
      </x:c>
      <x:c r="N26" s="23" t="str">
        <x:v>https://reactome.org/content/query?q=Hspbp1&amp;species=Mus%20musculus</x:v>
      </x:c>
    </x:row>
    <x:row r="27">
      <x:c r="A27" s="22" t="str">
        <x:v>Ifi30</x:v>
      </x:c>
      <x:c r="B27" s="23" t="str">
        <x:v>IFI30</x:v>
      </x:c>
      <x:c r="C27" s="23" t="str">
        <x:v>Redox metabolism</x:v>
      </x:c>
      <x:c r="D27" s="23" t="str">
        <x:v>Endolysosomal disulfide reduction</x:v>
      </x:c>
      <x:c r="E27" s="23" t="str">
        <x:v>Thiol reductase</x:v>
      </x:c>
      <x:c r="F27" s="23" t="str">
        <x:v>Direct biochemical</x:v>
      </x:c>
      <x:c r="G27" s="23" t="str">
        <x:v>Reduces disulfide bonds in internalized proteins at acidic pH to facilitate unfolding and antigen processing.</x:v>
      </x:c>
      <x:c r="H27" s="23" t="str">
        <x:v>Specialized redox/protein-processing reaction rather than global antioxidant metabolism.</x:v>
      </x:c>
      <x:c r="I27" s="23" t="str">
        <x:v>High</x:v>
      </x:c>
      <x:c r="J27" s="23" t="str">
        <x:v>UNIPROT2025;REACTOME2024</x:v>
      </x:c>
      <x:c r="K27" s="23" t="str">
        <x:v>https://pubmed.ncbi.nlm.nih.gov/39552041/; https://pmc.ncbi.nlm.nih.gov/articles/PMC10767911/</x:v>
      </x:c>
      <x:c r="L27" s="23" t="str">
        <x:v>https://www.informatics.jax.org/quicksearch/summary?queryType=exactPhrase&amp;query=Ifi30</x:v>
      </x:c>
      <x:c r="M27" s="23" t="str">
        <x:v>https://www.uniprot.org/uniprotkb?query=%28gene_exact%3AIfi30%29+AND+%28organism_id%3A10090%29</x:v>
      </x:c>
      <x:c r="N27" s="23" t="str">
        <x:v>https://reactome.org/content/query?q=Ifi30&amp;species=Mus%20musculus</x:v>
      </x:c>
    </x:row>
    <x:row r="28">
      <x:c r="A28" s="22" t="str">
        <x:v>Laptm5</x:v>
      </x:c>
      <x:c r="B28" s="23" t="str">
        <x:v>LAPTM5</x:v>
      </x:c>
      <x:c r="C28" s="23" t="str">
        <x:v>Protein turnover, processing and proteostasis</x:v>
      </x:c>
      <x:c r="D28" s="23" t="str">
        <x:v>Lysosomal receptor turnover</x:v>
      </x:c>
      <x:c r="E28" s="23" t="str">
        <x:v>Lysosomal trafficking regulator</x:v>
      </x:c>
      <x:c r="F28" s="23" t="str">
        <x:v>Regulatory/contextual</x:v>
      </x:c>
      <x:c r="G28" s="23" t="str">
        <x:v>Promotes lysosomal routing/down-regulation of selected immune receptors, affecting membrane-protein turnover.</x:v>
      </x:c>
      <x:c r="H28" s="23" t="str">
        <x:v>Does not directly catalyze proteolysis.</x:v>
      </x:c>
      <x:c r="I28" s="23" t="str">
        <x:v>Moderate</x:v>
      </x:c>
      <x:c r="J28" s="23" t="str">
        <x:v>UNIPROT2025</x:v>
      </x:c>
      <x:c r="K28" s="23" t="str">
        <x:v>https://pubmed.ncbi.nlm.nih.gov/39552041/</x:v>
      </x:c>
      <x:c r="L28" s="23" t="str">
        <x:v>https://www.informatics.jax.org/quicksearch/summary?queryType=exactPhrase&amp;query=Laptm5</x:v>
      </x:c>
      <x:c r="M28" s="23" t="str">
        <x:v>https://www.uniprot.org/uniprotkb?query=%28gene_exact%3ALaptm5%29+AND+%28organism_id%3A10090%29</x:v>
      </x:c>
      <x:c r="N28" s="23" t="str">
        <x:v>https://reactome.org/content/query?q=Laptm5&amp;species=Mus%20musculus</x:v>
      </x:c>
    </x:row>
    <x:row r="29">
      <x:c r="A29" s="22" t="str">
        <x:v>Lcn2</x:v>
      </x:c>
      <x:c r="B29" s="23" t="str">
        <x:v>LCN2</x:v>
      </x:c>
      <x:c r="C29" s="23" t="str">
        <x:v>Metal, iron and heme homeostasis</x:v>
      </x:c>
      <x:c r="D29" s="23" t="str">
        <x:v>Siderophore-bound iron sequestration/transport</x:v>
      </x:c>
      <x:c r="E29" s="23" t="str">
        <x:v>Iron-binding carrier</x:v>
      </x:c>
      <x:c r="F29" s="23" t="str">
        <x:v>Direct binding/transport</x:v>
      </x:c>
      <x:c r="G29" s="23" t="str">
        <x:v>Binds ferric siderophore complexes, withholding iron from bacteria and, in some contexts, delivering/removing iron through receptors.</x:v>
      </x:c>
      <x:c r="H29" s="23" t="str">
        <x:v>Direction of cellular iron movement depends on ligand loading and receptor context.</x:v>
      </x:c>
      <x:c r="I29" s="23" t="str">
        <x:v>High</x:v>
      </x:c>
      <x:c r="J29" s="23" t="str">
        <x:v>LCN2_2017;UNIPROT2025</x:v>
      </x:c>
      <x:c r="K29" s="23" t="str">
        <x:v>https://pubmed.ncbi.nlm.nih.gov/28628361/; https://pubmed.ncbi.nlm.nih.gov/39552041/</x:v>
      </x:c>
      <x:c r="L29" s="23" t="str">
        <x:v>https://www.informatics.jax.org/quicksearch/summary?queryType=exactPhrase&amp;query=Lcn2</x:v>
      </x:c>
      <x:c r="M29" s="23" t="str">
        <x:v>https://www.uniprot.org/uniprotkb?query=%28gene_exact%3ALcn2%29+AND+%28organism_id%3A10090%29</x:v>
      </x:c>
      <x:c r="N29" s="23" t="str">
        <x:v>https://reactome.org/content/query?q=Lcn2&amp;species=Mus%20musculus</x:v>
      </x:c>
    </x:row>
    <x:row r="30">
      <x:c r="A30" s="22" t="str">
        <x:v>Lgmn</x:v>
      </x:c>
      <x:c r="B30" s="23" t="str">
        <x:v>LGMN</x:v>
      </x:c>
      <x:c r="C30" s="23" t="str">
        <x:v>Protein turnover, processing and proteostasis</x:v>
      </x:c>
      <x:c r="D30" s="23" t="str">
        <x:v>Lysosomal asparaginyl endopeptidase activity</x:v>
      </x:c>
      <x:c r="E30" s="23" t="str">
        <x:v>Cysteine endopeptidase</x:v>
      </x:c>
      <x:c r="F30" s="23" t="str">
        <x:v>Direct biochemical</x:v>
      </x:c>
      <x:c r="G30" s="23" t="str">
        <x:v>Cleaves protein substrates C-terminal to asparagine in acidic endolysosomes.</x:v>
      </x:c>
      <x:c r="H30" s="23" t="str">
        <x:v>Also processes antigens and selected lysosomal enzymes.</x:v>
      </x:c>
      <x:c r="I30" s="23" t="str">
        <x:v>High</x:v>
      </x:c>
      <x:c r="J30" s="23" t="str">
        <x:v>UNIPROT2025;REACTOME2024</x:v>
      </x:c>
      <x:c r="K30" s="23" t="str">
        <x:v>https://pubmed.ncbi.nlm.nih.gov/39552041/; https://pmc.ncbi.nlm.nih.gov/articles/PMC10767911/</x:v>
      </x:c>
      <x:c r="L30" s="23" t="str">
        <x:v>https://www.informatics.jax.org/quicksearch/summary?queryType=exactPhrase&amp;query=Lgmn</x:v>
      </x:c>
      <x:c r="M30" s="23" t="str">
        <x:v>https://www.uniprot.org/uniprotkb?query=%28gene_exact%3ALgmn%29+AND+%28organism_id%3A10090%29</x:v>
      </x:c>
      <x:c r="N30" s="23" t="str">
        <x:v>https://reactome.org/content/query?q=Lgmn&amp;species=Mus%20musculus</x:v>
      </x:c>
    </x:row>
    <x:row r="31">
      <x:c r="A31" s="22" t="str">
        <x:v>Lrp5</x:v>
      </x:c>
      <x:c r="B31" s="23" t="str">
        <x:v>LRP5</x:v>
      </x:c>
      <x:c r="C31" s="23" t="str">
        <x:v>Metabolic regulation and nutrient sensing</x:v>
      </x:c>
      <x:c r="D31" s="23" t="str">
        <x:v>Cholesterol homeostasis</x:v>
      </x:c>
      <x:c r="E31" s="23" t="str">
        <x:v>Wnt co-receptor</x:v>
      </x:c>
      <x:c r="F31" s="23" t="str">
        <x:v>Upstream regulatory</x:v>
      </x:c>
      <x:c r="G31" s="23" t="str">
        <x:v>LRP5-dependent Wnt signaling contributes to normal plasma-cholesterol handling and tissue lipid use.</x:v>
      </x:c>
      <x:c r="H31" s="23" t="str">
        <x:v>Not a lipoprotein uptake receptor in the LDLR sense and not a metabolic enzyme.</x:v>
      </x:c>
      <x:c r="I31" s="23" t="str">
        <x:v>Moderate</x:v>
      </x:c>
      <x:c r="J31" s="23" t="str">
        <x:v>LRP5_2003</x:v>
      </x:c>
      <x:c r="K31" s="23" t="str">
        <x:v>https://pubmed.ncbi.nlm.nih.gov/12509515/</x:v>
      </x:c>
      <x:c r="L31" s="23" t="str">
        <x:v>https://www.informatics.jax.org/quicksearch/summary?queryType=exactPhrase&amp;query=Lrp5</x:v>
      </x:c>
      <x:c r="M31" s="23" t="str">
        <x:v>https://www.uniprot.org/uniprotkb?query=%28gene_exact%3ALrp5%29+AND+%28organism_id%3A10090%29</x:v>
      </x:c>
      <x:c r="N31" s="23" t="str">
        <x:v>https://reactome.org/content/query?q=Lrp5&amp;species=Mus%20musculus</x:v>
      </x:c>
    </x:row>
    <x:row r="32">
      <x:c r="A32" s="22" t="str">
        <x:v>Lrp5</x:v>
      </x:c>
      <x:c r="B32" s="23" t="str">
        <x:v>LRP5</x:v>
      </x:c>
      <x:c r="C32" s="23" t="str">
        <x:v>Metabolic regulation and nutrient sensing</x:v>
      </x:c>
      <x:c r="D32" s="23" t="str">
        <x:v>Glucose/insulin homeostasis</x:v>
      </x:c>
      <x:c r="E32" s="23" t="str">
        <x:v>Wnt co-receptor</x:v>
      </x:c>
      <x:c r="F32" s="23" t="str">
        <x:v>Upstream regulatory</x:v>
      </x:c>
      <x:c r="G32" s="23" t="str">
        <x:v>Genetic studies link LRP5 signaling to glucose-induced insulin secretion and systemic glucose tolerance.</x:v>
      </x:c>
      <x:c r="H32" s="23" t="str">
        <x:v>Systemic/tissue-level regulation; relevance to the assayed cell population may be indirect.</x:v>
      </x:c>
      <x:c r="I32" s="23" t="str">
        <x:v>Moderate</x:v>
      </x:c>
      <x:c r="J32" s="23" t="str">
        <x:v>LRP5_2003</x:v>
      </x:c>
      <x:c r="K32" s="23" t="str">
        <x:v>https://pubmed.ncbi.nlm.nih.gov/12509515/</x:v>
      </x:c>
      <x:c r="L32" s="23" t="str">
        <x:v>https://www.informatics.jax.org/quicksearch/summary?queryType=exactPhrase&amp;query=Lrp5</x:v>
      </x:c>
      <x:c r="M32" s="23" t="str">
        <x:v>https://www.uniprot.org/uniprotkb?query=%28gene_exact%3ALrp5%29+AND+%28organism_id%3A10090%29</x:v>
      </x:c>
      <x:c r="N32" s="23" t="str">
        <x:v>https://reactome.org/content/query?q=Lrp5&amp;species=Mus%20musculus</x:v>
      </x:c>
    </x:row>
    <x:row r="33">
      <x:c r="A33" s="22" t="str">
        <x:v>Ltf</x:v>
      </x:c>
      <x:c r="B33" s="23" t="str">
        <x:v>LTF</x:v>
      </x:c>
      <x:c r="C33" s="23" t="str">
        <x:v>Metal, iron and heme homeostasis</x:v>
      </x:c>
      <x:c r="D33" s="23" t="str">
        <x:v>Iron sequestration</x:v>
      </x:c>
      <x:c r="E33" s="23" t="str">
        <x:v>Iron-binding glycoprotein</x:v>
      </x:c>
      <x:c r="F33" s="23" t="str">
        <x:v>Direct binding/transport</x:v>
      </x:c>
      <x:c r="G33" s="23" t="str">
        <x:v>Binds Fe3+ with high affinity, limits microbial iron availability and participates in mucosal/granule iron handling.</x:v>
      </x:c>
      <x:c r="H33" s="23" t="str">
        <x:v>Predominantly extracellular or granule-associated.</x:v>
      </x:c>
      <x:c r="I33" s="23" t="str">
        <x:v>High</x:v>
      </x:c>
      <x:c r="J33" s="23" t="str">
        <x:v>UNIPROT2025</x:v>
      </x:c>
      <x:c r="K33" s="23" t="str">
        <x:v>https://pubmed.ncbi.nlm.nih.gov/39552041/</x:v>
      </x:c>
      <x:c r="L33" s="23" t="str">
        <x:v>https://www.informatics.jax.org/quicksearch/summary?queryType=exactPhrase&amp;query=Ltf</x:v>
      </x:c>
      <x:c r="M33" s="23" t="str">
        <x:v>https://www.uniprot.org/uniprotkb?query=%28gene_exact%3ALtf%29+AND+%28organism_id%3A10090%29</x:v>
      </x:c>
      <x:c r="N33" s="23" t="str">
        <x:v>https://reactome.org/content/query?q=Ltf&amp;species=Mus%20musculus</x:v>
      </x:c>
    </x:row>
    <x:row r="34">
      <x:c r="A34" s="22" t="str">
        <x:v>Lyz2</x:v>
      </x:c>
      <x:c r="B34" s="23" t="str">
        <x:v>LYZ</x:v>
      </x:c>
      <x:c r="C34" s="23" t="str">
        <x:v>Glycan and glycoprotein metabolism</x:v>
      </x:c>
      <x:c r="D34" s="23" t="str">
        <x:v>Bacterial peptidoglycan hydrolysis</x:v>
      </x:c>
      <x:c r="E34" s="23" t="str">
        <x:v>Glycoside hydrolase</x:v>
      </x:c>
      <x:c r="F34" s="23" t="str">
        <x:v>Direct biochemical</x:v>
      </x:c>
      <x:c r="G34" s="23" t="str">
        <x:v>Hydrolyzes beta-1,4 bonds between N-acetylmuramic acid and N-acetylglucosamine in bacterial peptidoglycan.</x:v>
      </x:c>
      <x:c r="H34" s="23" t="str">
        <x:v>Antimicrobial carbohydrate catabolism; not host glucose metabolism.</x:v>
      </x:c>
      <x:c r="I34" s="23" t="str">
        <x:v>High</x:v>
      </x:c>
      <x:c r="J34" s="23" t="str">
        <x:v>UNIPROT2025</x:v>
      </x:c>
      <x:c r="K34" s="23" t="str">
        <x:v>https://pubmed.ncbi.nlm.nih.gov/39552041/</x:v>
      </x:c>
      <x:c r="L34" s="23" t="str">
        <x:v>https://www.informatics.jax.org/quicksearch/summary?queryType=exactPhrase&amp;query=Lyz2</x:v>
      </x:c>
      <x:c r="M34" s="23" t="str">
        <x:v>https://www.uniprot.org/uniprotkb?query=%28gene_exact%3ALyz2%29+AND+%28organism_id%3A10090%29</x:v>
      </x:c>
      <x:c r="N34" s="23" t="str">
        <x:v>https://reactome.org/content/query?q=Lyz2&amp;species=Mus%20musculus</x:v>
      </x:c>
    </x:row>
    <x:row r="35">
      <x:c r="A35" s="22" t="str">
        <x:v>Mmp19</x:v>
      </x:c>
      <x:c r="B35" s="23" t="str">
        <x:v>MMP19</x:v>
      </x:c>
      <x:c r="C35" s="23" t="str">
        <x:v>Protein turnover, processing and proteostasis</x:v>
      </x:c>
      <x:c r="D35" s="23" t="str">
        <x:v>ECM proteolysis</x:v>
      </x:c>
      <x:c r="E35" s="23" t="str">
        <x:v>Metalloprotease</x:v>
      </x:c>
      <x:c r="F35" s="23" t="str">
        <x:v>Direct biochemical</x:v>
      </x:c>
      <x:c r="G35" s="23" t="str">
        <x:v>Cleaves extracellular-matrix and selected signaling proteins during remodeling.</x:v>
      </x:c>
      <x:c r="H35" s="23" t="str">
        <x:v>Substrate use is tissue/context dependent.</x:v>
      </x:c>
      <x:c r="I35" s="23" t="str">
        <x:v>Moderate</x:v>
      </x:c>
      <x:c r="J35" s="23" t="str">
        <x:v>UNIPROT2025</x:v>
      </x:c>
      <x:c r="K35" s="23" t="str">
        <x:v>https://pubmed.ncbi.nlm.nih.gov/39552041/</x:v>
      </x:c>
      <x:c r="L35" s="23" t="str">
        <x:v>https://www.informatics.jax.org/quicksearch/summary?queryType=exactPhrase&amp;query=Mmp19</x:v>
      </x:c>
      <x:c r="M35" s="23" t="str">
        <x:v>https://www.uniprot.org/uniprotkb?query=%28gene_exact%3AMmp19%29+AND+%28organism_id%3A10090%29</x:v>
      </x:c>
      <x:c r="N35" s="23" t="str">
        <x:v>https://reactome.org/content/query?q=Mmp19&amp;species=Mus%20musculus</x:v>
      </x:c>
    </x:row>
    <x:row r="36">
      <x:c r="A36" s="22" t="str">
        <x:v>Mmp8</x:v>
      </x:c>
      <x:c r="B36" s="23" t="str">
        <x:v>MMP8</x:v>
      </x:c>
      <x:c r="C36" s="23" t="str">
        <x:v>Protein turnover, processing and proteostasis</x:v>
      </x:c>
      <x:c r="D36" s="23" t="str">
        <x:v>Collagen and ECM proteolysis</x:v>
      </x:c>
      <x:c r="E36" s="23" t="str">
        <x:v>Metalloprotease</x:v>
      </x:c>
      <x:c r="F36" s="23" t="str">
        <x:v>Direct biochemical</x:v>
      </x:c>
      <x:c r="G36" s="23" t="str">
        <x:v>Neutrophil collagenase cleaves fibrillar collagens and additional inflammatory substrates.</x:v>
      </x:c>
      <x:c r="H36" s="23" t="str">
        <x:v>Stored as a zymogen and activated extracellularly.</x:v>
      </x:c>
      <x:c r="I36" s="23" t="str">
        <x:v>High</x:v>
      </x:c>
      <x:c r="J36" s="23" t="str">
        <x:v>UNIPROT2025</x:v>
      </x:c>
      <x:c r="K36" s="23" t="str">
        <x:v>https://pubmed.ncbi.nlm.nih.gov/39552041/</x:v>
      </x:c>
      <x:c r="L36" s="23" t="str">
        <x:v>https://www.informatics.jax.org/quicksearch/summary?queryType=exactPhrase&amp;query=Mmp8</x:v>
      </x:c>
      <x:c r="M36" s="23" t="str">
        <x:v>https://www.uniprot.org/uniprotkb?query=%28gene_exact%3AMmp8%29+AND+%28organism_id%3A10090%29</x:v>
      </x:c>
      <x:c r="N36" s="23" t="str">
        <x:v>https://reactome.org/content/query?q=Mmp8&amp;species=Mus%20musculus</x:v>
      </x:c>
    </x:row>
    <x:row r="37">
      <x:c r="A37" s="22" t="str">
        <x:v>Naglu</x:v>
      </x:c>
      <x:c r="B37" s="23" t="str">
        <x:v>NAGLU</x:v>
      </x:c>
      <x:c r="C37" s="23" t="str">
        <x:v>Glycan and glycoprotein metabolism</x:v>
      </x:c>
      <x:c r="D37" s="23" t="str">
        <x:v>Lysosomal heparan-sulfate degradation</x:v>
      </x:c>
      <x:c r="E37" s="23" t="str">
        <x:v>Exoglycosidase</x:v>
      </x:c>
      <x:c r="F37" s="23" t="str">
        <x:v>Direct biochemical</x:v>
      </x:c>
      <x:c r="G37" s="23" t="str">
        <x:v>Hydrolyzes terminal alpha-N-acetylglucosamine residues during stepwise heparan-sulfate catabolism.</x:v>
      </x:c>
      <x:c r="H37" s="23" t="str">
        <x:v>Deficiency causes MPS IIIB and secondary lysosomal dysfunction.</x:v>
      </x:c>
      <x:c r="I37" s="23" t="str">
        <x:v>High</x:v>
      </x:c>
      <x:c r="J37" s="23" t="str">
        <x:v>NAGLU2022;UNIPROT2025</x:v>
      </x:c>
      <x:c r="K37" s="23" t="str">
        <x:v>https://pmc.ncbi.nlm.nih.gov/articles/PMC9026333/; https://pubmed.ncbi.nlm.nih.gov/39552041/</x:v>
      </x:c>
      <x:c r="L37" s="23" t="str">
        <x:v>https://www.informatics.jax.org/quicksearch/summary?queryType=exactPhrase&amp;query=Naglu</x:v>
      </x:c>
      <x:c r="M37" s="23" t="str">
        <x:v>https://www.uniprot.org/uniprotkb?query=%28gene_exact%3ANaglu%29+AND+%28organism_id%3A10090%29</x:v>
      </x:c>
      <x:c r="N37" s="23" t="str">
        <x:v>https://reactome.org/content/query?q=Naglu&amp;species=Mus%20musculus</x:v>
      </x:c>
    </x:row>
    <x:row r="38">
      <x:c r="A38" s="22" t="str">
        <x:v>Ncf1</x:v>
      </x:c>
      <x:c r="B38" s="23" t="str">
        <x:v>NCF1</x:v>
      </x:c>
      <x:c r="C38" s="23" t="str">
        <x:v>Redox metabolism</x:v>
      </x:c>
      <x:c r="D38" s="23" t="str">
        <x:v>NOX2 respiratory burst</x:v>
      </x:c>
      <x:c r="E38" s="23" t="str">
        <x:v>NADPH oxidase organizer</x:v>
      </x:c>
      <x:c r="F38" s="23" t="str">
        <x:v>Direct complex component</x:v>
      </x:c>
      <x:c r="G38" s="23" t="str">
        <x:v>p47phox organizes translocation and assembly of cytosolic oxidase subunits with membrane CYBB/CYBA.</x:v>
      </x:c>
      <x:c r="H38" s="23" t="str">
        <x:v>Required for efficient NOX2 ROS production but not itself the catalytic electron-transfer subunit.</x:v>
      </x:c>
      <x:c r="I38" s="23" t="str">
        <x:v>High</x:v>
      </x:c>
      <x:c r="J38" s="23" t="str">
        <x:v>NOX2_2010;UNIPROT2025</x:v>
      </x:c>
      <x:c r="K38" s="23" t="str">
        <x:v>https://pubmed.ncbi.nlm.nih.gov/20803017/; https://pubmed.ncbi.nlm.nih.gov/39552041/</x:v>
      </x:c>
      <x:c r="L38" s="23" t="str">
        <x:v>https://www.informatics.jax.org/quicksearch/summary?queryType=exactPhrase&amp;query=Ncf1</x:v>
      </x:c>
      <x:c r="M38" s="23" t="str">
        <x:v>https://www.uniprot.org/uniprotkb?query=%28gene_exact%3ANcf1%29+AND+%28organism_id%3A10090%29</x:v>
      </x:c>
      <x:c r="N38" s="23" t="str">
        <x:v>https://reactome.org/content/query?q=Ncf1&amp;species=Mus%20musculus</x:v>
      </x:c>
    </x:row>
    <x:row r="39">
      <x:c r="A39" s="22" t="str">
        <x:v>Ncf2</x:v>
      </x:c>
      <x:c r="B39" s="23" t="str">
        <x:v>NCF2</x:v>
      </x:c>
      <x:c r="C39" s="23" t="str">
        <x:v>Redox metabolism</x:v>
      </x:c>
      <x:c r="D39" s="23" t="str">
        <x:v>NOX2 respiratory burst</x:v>
      </x:c>
      <x:c r="E39" s="23" t="str">
        <x:v>NADPH oxidase activator</x:v>
      </x:c>
      <x:c r="F39" s="23" t="str">
        <x:v>Direct complex component</x:v>
      </x:c>
      <x:c r="G39" s="23" t="str">
        <x:v>p67phox activates the CYBB catalytic subunit and supports NADPH-dependent superoxide production.</x:v>
      </x:c>
      <x:c r="H39" s="23" t="str">
        <x:v>Complex component rather than independent oxidase.</x:v>
      </x:c>
      <x:c r="I39" s="23" t="str">
        <x:v>High</x:v>
      </x:c>
      <x:c r="J39" s="23" t="str">
        <x:v>NOX2_2010;UNIPROT2025</x:v>
      </x:c>
      <x:c r="K39" s="23" t="str">
        <x:v>https://pubmed.ncbi.nlm.nih.gov/20803017/; https://pubmed.ncbi.nlm.nih.gov/39552041/</x:v>
      </x:c>
      <x:c r="L39" s="23" t="str">
        <x:v>https://www.informatics.jax.org/quicksearch/summary?queryType=exactPhrase&amp;query=Ncf2</x:v>
      </x:c>
      <x:c r="M39" s="23" t="str">
        <x:v>https://www.uniprot.org/uniprotkb?query=%28gene_exact%3ANcf2%29+AND+%28organism_id%3A10090%29</x:v>
      </x:c>
      <x:c r="N39" s="23" t="str">
        <x:v>https://reactome.org/content/query?q=Ncf2&amp;species=Mus%20musculus</x:v>
      </x:c>
    </x:row>
    <x:row r="40">
      <x:c r="A40" s="22" t="str">
        <x:v>Nmnat2</x:v>
      </x:c>
      <x:c r="B40" s="23" t="str">
        <x:v>NMNAT2</x:v>
      </x:c>
      <x:c r="C40" s="23" t="str">
        <x:v>Nucleotide and cofactor metabolism</x:v>
      </x:c>
      <x:c r="D40" s="23" t="str">
        <x:v>NAD biosynthesis/salvage</x:v>
      </x:c>
      <x:c r="E40" s="23" t="str">
        <x:v>Nucleotidyltransferase</x:v>
      </x:c>
      <x:c r="F40" s="23" t="str">
        <x:v>Direct biochemical</x:v>
      </x:c>
      <x:c r="G40" s="23" t="str">
        <x:v>Catalyzes NMN + ATP to NAD + pyrophosphate in the NAD salvage pathway.</x:v>
      </x:c>
      <x:c r="H40" s="23" t="str">
        <x:v>A labile axonal pool also acts as a survival factor by opposing SARM1-driven NAD depletion.</x:v>
      </x:c>
      <x:c r="I40" s="23" t="str">
        <x:v>High</x:v>
      </x:c>
      <x:c r="J40" s="23" t="str">
        <x:v>NMNAT2_2010;UNIPROT2025;REACTOME2024</x:v>
      </x:c>
      <x:c r="K40" s="23" t="str">
        <x:v>https://pubmed.ncbi.nlm.nih.gov/20126265/; https://pubmed.ncbi.nlm.nih.gov/39552041/; https://pmc.ncbi.nlm.nih.gov/articles/PMC10767911/</x:v>
      </x:c>
      <x:c r="L40" s="23" t="str">
        <x:v>https://www.informatics.jax.org/quicksearch/summary?queryType=exactPhrase&amp;query=Nmnat2</x:v>
      </x:c>
      <x:c r="M40" s="23" t="str">
        <x:v>https://www.uniprot.org/uniprotkb?query=%28gene_exact%3ANmnat2%29+AND+%28organism_id%3A10090%29</x:v>
      </x:c>
      <x:c r="N40" s="23" t="str">
        <x:v>https://reactome.org/content/query?q=Nmnat2&amp;species=Mus%20musculus</x:v>
      </x:c>
    </x:row>
    <x:row r="41">
      <x:c r="A41" s="22" t="str">
        <x:v>Npc2</x:v>
      </x:c>
      <x:c r="B41" s="23" t="str">
        <x:v>NPC2</x:v>
      </x:c>
      <x:c r="C41" s="23" t="str">
        <x:v>Lipid, sterol and lipoprotein metabolism</x:v>
      </x:c>
      <x:c r="D41" s="23" t="str">
        <x:v>Lysosomal cholesterol export</x:v>
      </x:c>
      <x:c r="E41" s="23" t="str">
        <x:v>Sterol-transfer protein</x:v>
      </x:c>
      <x:c r="F41" s="23" t="str">
        <x:v>Direct transport</x:v>
      </x:c>
      <x:c r="G41" s="23" t="str">
        <x:v>Binds unesterified cholesterol in the lysosomal lumen and transfers it between intralysosomal membranes and NPC1.</x:v>
      </x:c>
      <x:c r="H41" s="23" t="str">
        <x:v>Direct sterol trafficking; deficiency produces lysosomal cholesterol accumulation.</x:v>
      </x:c>
      <x:c r="I41" s="23" t="str">
        <x:v>High</x:v>
      </x:c>
      <x:c r="J41" s="23" t="str">
        <x:v>NPC2_2008;UNIPROT2025;REACTOME2024</x:v>
      </x:c>
      <x:c r="K41" s="23" t="str">
        <x:v>https://pubmed.ncbi.nlm.nih.gov/18772377/; https://pubmed.ncbi.nlm.nih.gov/39552041/; https://pmc.ncbi.nlm.nih.gov/articles/PMC10767911/</x:v>
      </x:c>
      <x:c r="L41" s="23" t="str">
        <x:v>https://www.informatics.jax.org/quicksearch/summary?queryType=exactPhrase&amp;query=Npc2</x:v>
      </x:c>
      <x:c r="M41" s="23" t="str">
        <x:v>https://www.uniprot.org/uniprotkb?query=%28gene_exact%3ANpc2%29+AND+%28organism_id%3A10090%29</x:v>
      </x:c>
      <x:c r="N41" s="23" t="str">
        <x:v>https://reactome.org/content/query?q=Npc2&amp;species=Mus%20musculus</x:v>
      </x:c>
    </x:row>
    <x:row r="42">
      <x:c r="A42" s="22" t="str">
        <x:v>Nt5c</x:v>
      </x:c>
      <x:c r="B42" s="23" t="str">
        <x:v>NT5C</x:v>
      </x:c>
      <x:c r="C42" s="23" t="str">
        <x:v>Nucleotide and cofactor metabolism</x:v>
      </x:c>
      <x:c r="D42" s="23" t="str">
        <x:v>Cytosolic nucleoside-monophosphate catabolism</x:v>
      </x:c>
      <x:c r="E42" s="23" t="str">
        <x:v>5-prime nucleotidase</x:v>
      </x:c>
      <x:c r="F42" s="23" t="str">
        <x:v>Direct biochemical</x:v>
      </x:c>
      <x:c r="G42" s="23" t="str">
        <x:v>Hydrolyzes selected nucleoside 5-prime monophosphates to nucleosides plus inorganic phosphate.</x:v>
      </x:c>
      <x:c r="H42" s="23" t="str">
        <x:v>Substrate preference should be interpreted from isoform-specific biochemical data.</x:v>
      </x:c>
      <x:c r="I42" s="23" t="str">
        <x:v>High</x:v>
      </x:c>
      <x:c r="J42" s="23" t="str">
        <x:v>UNIPROT2025;REACTOME2024</x:v>
      </x:c>
      <x:c r="K42" s="23" t="str">
        <x:v>https://pubmed.ncbi.nlm.nih.gov/39552041/; https://pmc.ncbi.nlm.nih.gov/articles/PMC10767911/</x:v>
      </x:c>
      <x:c r="L42" s="23" t="str">
        <x:v>https://www.informatics.jax.org/quicksearch/summary?queryType=exactPhrase&amp;query=Nt5c</x:v>
      </x:c>
      <x:c r="M42" s="23" t="str">
        <x:v>https://www.uniprot.org/uniprotkb?query=%28gene_exact%3ANt5c%29+AND+%28organism_id%3A10090%29</x:v>
      </x:c>
      <x:c r="N42" s="23" t="str">
        <x:v>https://reactome.org/content/query?q=Nt5c&amp;species=Mus%20musculus</x:v>
      </x:c>
    </x:row>
    <x:row r="43">
      <x:c r="A43" s="22" t="str">
        <x:v>Oas1a</x:v>
      </x:c>
      <x:c r="B43" s="23" t="str">
        <x:v>OAS1</x:v>
      </x:c>
      <x:c r="C43" s="23" t="str">
        <x:v>Nucleotide and cofactor metabolism</x:v>
      </x:c>
      <x:c r="D43" s="23" t="str">
        <x:v>2-prime-5-prime oligoadenylate synthesis</x:v>
      </x:c>
      <x:c r="E43" s="23" t="str">
        <x:v>Nucleotidyltransferase</x:v>
      </x:c>
      <x:c r="F43" s="23" t="str">
        <x:v>Direct biochemical</x:v>
      </x:c>
      <x:c r="G43" s="23" t="str">
        <x:v>Uses ATP to synthesize 2-5A oligoadenylates after dsRNA binding; 2-5A activates RNase L.</x:v>
      </x:c>
      <x:c r="H43" s="23" t="str">
        <x:v>Specialized innate nucleotide signaling, not housekeeping nucleotide biosynthesis.</x:v>
      </x:c>
      <x:c r="I43" s="23" t="str">
        <x:v>High</x:v>
      </x:c>
      <x:c r="J43" s="23" t="str">
        <x:v>UNIPROT2025;REACTOME2024</x:v>
      </x:c>
      <x:c r="K43" s="23" t="str">
        <x:v>https://pubmed.ncbi.nlm.nih.gov/39552041/; https://pmc.ncbi.nlm.nih.gov/articles/PMC10767911/</x:v>
      </x:c>
      <x:c r="L43" s="23" t="str">
        <x:v>https://www.informatics.jax.org/quicksearch/summary?queryType=exactPhrase&amp;query=Oas1a</x:v>
      </x:c>
      <x:c r="M43" s="23" t="str">
        <x:v>https://www.uniprot.org/uniprotkb?query=%28gene_exact%3AOas1a%29+AND+%28organism_id%3A10090%29</x:v>
      </x:c>
      <x:c r="N43" s="23" t="str">
        <x:v>https://reactome.org/content/query?q=Oas1a&amp;species=Mus%20musculus</x:v>
      </x:c>
    </x:row>
    <x:row r="44">
      <x:c r="A44" s="22" t="str">
        <x:v>Os9</x:v>
      </x:c>
      <x:c r="B44" s="23" t="str">
        <x:v>OS9</x:v>
      </x:c>
      <x:c r="C44" s="23" t="str">
        <x:v>Protein turnover, processing and proteostasis</x:v>
      </x:c>
      <x:c r="D44" s="23" t="str">
        <x:v>ER-associated glycoprotein degradation</x:v>
      </x:c>
      <x:c r="E44" s="23" t="str">
        <x:v>ER lectin/cargo receptor</x:v>
      </x:c>
      <x:c r="F44" s="23" t="str">
        <x:v>Direct processing support</x:v>
      </x:c>
      <x:c r="G44" s="23" t="str">
        <x:v>Recognizes misfolded glycoproteins and delivers them to SEL1L-HRD1 ERAD for retrotranslocation and proteasomal degradation.</x:v>
      </x:c>
      <x:c r="H44" s="23" t="str">
        <x:v>Recognition/adaptor role; not a protease.</x:v>
      </x:c>
      <x:c r="I44" s="23" t="str">
        <x:v>High</x:v>
      </x:c>
      <x:c r="J44" s="23" t="str">
        <x:v>UNIPROT2025;REACTOME2024</x:v>
      </x:c>
      <x:c r="K44" s="23" t="str">
        <x:v>https://pubmed.ncbi.nlm.nih.gov/39552041/; https://pmc.ncbi.nlm.nih.gov/articles/PMC10767911/</x:v>
      </x:c>
      <x:c r="L44" s="23" t="str">
        <x:v>https://www.informatics.jax.org/quicksearch/summary?queryType=exactPhrase&amp;query=Os9</x:v>
      </x:c>
      <x:c r="M44" s="23" t="str">
        <x:v>https://www.uniprot.org/uniprotkb?query=%28gene_exact%3AOs9%29+AND+%28organism_id%3A10090%29</x:v>
      </x:c>
      <x:c r="N44" s="23" t="str">
        <x:v>https://reactome.org/content/query?q=Os9&amp;species=Mus%20musculus</x:v>
      </x:c>
    </x:row>
    <x:row r="45">
      <x:c r="A45" s="22" t="str">
        <x:v>Pdia6</x:v>
      </x:c>
      <x:c r="B45" s="23" t="str">
        <x:v>PDIA6</x:v>
      </x:c>
      <x:c r="C45" s="23" t="str">
        <x:v>Redox metabolism</x:v>
      </x:c>
      <x:c r="D45" s="23" t="str">
        <x:v>ER oxidative protein folding</x:v>
      </x:c>
      <x:c r="E45" s="23" t="str">
        <x:v>Disulfide oxidoreductase</x:v>
      </x:c>
      <x:c r="F45" s="23" t="str">
        <x:v>Direct biochemical</x:v>
      </x:c>
      <x:c r="G45" s="23" t="str">
        <x:v>Catalyzes thiol-disulfide exchange during ER protein folding and modulates UPR sensors.</x:v>
      </x:c>
      <x:c r="H45" s="23" t="str">
        <x:v>Can protect against or alter stress-induced death depending on context.</x:v>
      </x:c>
      <x:c r="I45" s="23" t="str">
        <x:v>High</x:v>
      </x:c>
      <x:c r="J45" s="23" t="str">
        <x:v>UNIPROT2025;REACTOME2024</x:v>
      </x:c>
      <x:c r="K45" s="23" t="str">
        <x:v>https://pubmed.ncbi.nlm.nih.gov/39552041/; https://pmc.ncbi.nlm.nih.gov/articles/PMC10767911/</x:v>
      </x:c>
      <x:c r="L45" s="23" t="str">
        <x:v>https://www.informatics.jax.org/quicksearch/summary?queryType=exactPhrase&amp;query=Pdia6</x:v>
      </x:c>
      <x:c r="M45" s="23" t="str">
        <x:v>https://www.uniprot.org/uniprotkb?query=%28gene_exact%3APdia6%29+AND+%28organism_id%3A10090%29</x:v>
      </x:c>
      <x:c r="N45" s="23" t="str">
        <x:v>https://reactome.org/content/query?q=Pdia6&amp;species=Mus%20musculus</x:v>
      </x:c>
    </x:row>
    <x:row r="46">
      <x:c r="A46" s="22" t="str">
        <x:v>Pgd</x:v>
      </x:c>
      <x:c r="B46" s="23" t="str">
        <x:v>PGD</x:v>
      </x:c>
      <x:c r="C46" s="23" t="str">
        <x:v>Carbohydrate and central-carbon metabolism</x:v>
      </x:c>
      <x:c r="D46" s="23" t="str">
        <x:v>Oxidative pentose-phosphate pathway</x:v>
      </x:c>
      <x:c r="E46" s="23" t="str">
        <x:v>NADP-dependent dehydrogenase</x:v>
      </x:c>
      <x:c r="F46" s="23" t="str">
        <x:v>Direct biochemical</x:v>
      </x:c>
      <x:c r="G46" s="23" t="str">
        <x:v>Converts 6-phosphogluconate to ribulose-5-phosphate, CO2 and NADPH.</x:v>
      </x:c>
      <x:c r="H46" s="23" t="str">
        <x:v>Supports reductive capacity and ribose/nucleotide precursor production.</x:v>
      </x:c>
      <x:c r="I46" s="23" t="str">
        <x:v>High</x:v>
      </x:c>
      <x:c r="J46" s="23" t="str">
        <x:v>PGD2021;UNIPROT2025;REACTOME2024</x:v>
      </x:c>
      <x:c r="K46" s="23" t="str">
        <x:v>https://www.mdpi.com/2079-7737/10/2/85; https://pubmed.ncbi.nlm.nih.gov/39552041/; https://pmc.ncbi.nlm.nih.gov/articles/PMC10767911/</x:v>
      </x:c>
      <x:c r="L46" s="23" t="str">
        <x:v>https://www.informatics.jax.org/quicksearch/summary?queryType=exactPhrase&amp;query=Pgd</x:v>
      </x:c>
      <x:c r="M46" s="23" t="str">
        <x:v>https://www.uniprot.org/uniprotkb?query=%28gene_exact%3APgd%29+AND+%28organism_id%3A10090%29</x:v>
      </x:c>
      <x:c r="N46" s="23" t="str">
        <x:v>https://reactome.org/content/query?q=Pgd&amp;species=Mus%20musculus</x:v>
      </x:c>
    </x:row>
    <x:row r="47">
      <x:c r="A47" s="22" t="str">
        <x:v>Pik3cg</x:v>
      </x:c>
      <x:c r="B47" s="23" t="str">
        <x:v>PIK3CG</x:v>
      </x:c>
      <x:c r="C47" s="23" t="str">
        <x:v>Lipid, sterol and lipoprotein metabolism</x:v>
      </x:c>
      <x:c r="D47" s="23" t="str">
        <x:v>Phosphoinositide phosphorylation</x:v>
      </x:c>
      <x:c r="E47" s="23" t="str">
        <x:v>Lipid kinase</x:v>
      </x:c>
      <x:c r="F47" s="23" t="str">
        <x:v>Direct biochemical</x:v>
      </x:c>
      <x:c r="G47" s="23" t="str">
        <x:v>Phosphorylates phosphatidylinositol-4,5-bisphosphate to PIP3 downstream of GPCRs.</x:v>
      </x:c>
      <x:c r="H47" s="23" t="str">
        <x:v>This is membrane-lipid second-messenger metabolism, not bulk fatty-acid/cholesterol metabolism.</x:v>
      </x:c>
      <x:c r="I47" s="23" t="str">
        <x:v>High</x:v>
      </x:c>
      <x:c r="J47" s="23" t="str">
        <x:v>UNIPROT2025;REACTOME2024</x:v>
      </x:c>
      <x:c r="K47" s="23" t="str">
        <x:v>https://pubmed.ncbi.nlm.nih.gov/39552041/; https://pmc.ncbi.nlm.nih.gov/articles/PMC10767911/</x:v>
      </x:c>
      <x:c r="L47" s="23" t="str">
        <x:v>https://www.informatics.jax.org/quicksearch/summary?queryType=exactPhrase&amp;query=Pik3cg</x:v>
      </x:c>
      <x:c r="M47" s="23" t="str">
        <x:v>https://www.uniprot.org/uniprotkb?query=%28gene_exact%3APik3cg%29+AND+%28organism_id%3A10090%29</x:v>
      </x:c>
      <x:c r="N47" s="23" t="str">
        <x:v>https://reactome.org/content/query?q=Pik3cg&amp;species=Mus%20musculus</x:v>
      </x:c>
    </x:row>
    <x:row r="48">
      <x:c r="A48" s="22" t="str">
        <x:v>Plau</x:v>
      </x:c>
      <x:c r="B48" s="23" t="str">
        <x:v>PLAU</x:v>
      </x:c>
      <x:c r="C48" s="23" t="str">
        <x:v>Protein turnover, processing and proteostasis</x:v>
      </x:c>
      <x:c r="D48" s="23" t="str">
        <x:v>Plasminogen activation/fibrinolysis</x:v>
      </x:c>
      <x:c r="E48" s="23" t="str">
        <x:v>Serine protease</x:v>
      </x:c>
      <x:c r="F48" s="23" t="str">
        <x:v>Direct biochemical</x:v>
      </x:c>
      <x:c r="G48" s="23" t="str">
        <x:v>Cleaves plasminogen to plasmin, amplifying fibrin and extracellular-matrix proteolysis.</x:v>
      </x:c>
      <x:c r="H48" s="23" t="str">
        <x:v>Activity is spatially focused by PLAUR and controlled by serpins.</x:v>
      </x:c>
      <x:c r="I48" s="23" t="str">
        <x:v>High</x:v>
      </x:c>
      <x:c r="J48" s="23" t="str">
        <x:v>UNIPROT2025;REACTOME2024</x:v>
      </x:c>
      <x:c r="K48" s="23" t="str">
        <x:v>https://pubmed.ncbi.nlm.nih.gov/39552041/; https://pmc.ncbi.nlm.nih.gov/articles/PMC10767911/</x:v>
      </x:c>
      <x:c r="L48" s="23" t="str">
        <x:v>https://www.informatics.jax.org/quicksearch/summary?queryType=exactPhrase&amp;query=Plau</x:v>
      </x:c>
      <x:c r="M48" s="23" t="str">
        <x:v>https://www.uniprot.org/uniprotkb?query=%28gene_exact%3APlau%29+AND+%28organism_id%3A10090%29</x:v>
      </x:c>
      <x:c r="N48" s="23" t="str">
        <x:v>https://reactome.org/content/query?q=Plau&amp;species=Mus%20musculus</x:v>
      </x:c>
    </x:row>
    <x:row r="49">
      <x:c r="A49" s="22" t="str">
        <x:v>Plbd1</x:v>
      </x:c>
      <x:c r="B49" s="23" t="str">
        <x:v>PLBD1</x:v>
      </x:c>
      <x:c r="C49" s="23" t="str">
        <x:v>Lipid, sterol and lipoprotein metabolism</x:v>
      </x:c>
      <x:c r="D49" s="23" t="str">
        <x:v>Putative phospholipid hydrolysis</x:v>
      </x:c>
      <x:c r="E49" s="23" t="str">
        <x:v>Predicted hydrolase</x:v>
      </x:c>
      <x:c r="F49" s="23" t="str">
        <x:v>Predicted/uncertain</x:v>
      </x:c>
      <x:c r="G49" s="23" t="str">
        <x:v>Contains a phospholipase-B-like domain and may hydrolyze lipid substrates.</x:v>
      </x:c>
      <x:c r="H49" s="23" t="str">
        <x:v>Physiological substrate and catalytic relevance are insufficiently defined; retained as uncertain rather than asserted.</x:v>
      </x:c>
      <x:c r="I49" s="23" t="str">
        <x:v>Low</x:v>
      </x:c>
      <x:c r="J49" s="23" t="str">
        <x:v>UNIPROT2025</x:v>
      </x:c>
      <x:c r="K49" s="23" t="str">
        <x:v>https://pubmed.ncbi.nlm.nih.gov/39552041/</x:v>
      </x:c>
      <x:c r="L49" s="23" t="str">
        <x:v>https://www.informatics.jax.org/quicksearch/summary?queryType=exactPhrase&amp;query=Plbd1</x:v>
      </x:c>
      <x:c r="M49" s="23" t="str">
        <x:v>https://www.uniprot.org/uniprotkb?query=%28gene_exact%3APlbd1%29+AND+%28organism_id%3A10090%29</x:v>
      </x:c>
      <x:c r="N49" s="23" t="str">
        <x:v>https://reactome.org/content/query?q=Plbd1&amp;species=Mus%20musculus</x:v>
      </x:c>
    </x:row>
    <x:row r="50">
      <x:c r="A50" s="22" t="str">
        <x:v>Plcb2</x:v>
      </x:c>
      <x:c r="B50" s="23" t="str">
        <x:v>PLCB2</x:v>
      </x:c>
      <x:c r="C50" s="23" t="str">
        <x:v>Lipid, sterol and lipoprotein metabolism</x:v>
      </x:c>
      <x:c r="D50" s="23" t="str">
        <x:v>PIP2 hydrolysis</x:v>
      </x:c>
      <x:c r="E50" s="23" t="str">
        <x:v>Phospholipase C</x:v>
      </x:c>
      <x:c r="F50" s="23" t="str">
        <x:v>Direct biochemical</x:v>
      </x:c>
      <x:c r="G50" s="23" t="str">
        <x:v>Hydrolyzes PIP2 into diacylglycerol and IP3, linking GPCR/immune-receptor signaling to PKC and Ca2+.</x:v>
      </x:c>
      <x:c r="H50" s="23" t="str">
        <x:v>Second-messenger phosphoinositide metabolism, not bulk lipid catabolism.</x:v>
      </x:c>
      <x:c r="I50" s="23" t="str">
        <x:v>High</x:v>
      </x:c>
      <x:c r="J50" s="23" t="str">
        <x:v>UNIPROT2025;REACTOME2024</x:v>
      </x:c>
      <x:c r="K50" s="23" t="str">
        <x:v>https://pubmed.ncbi.nlm.nih.gov/39552041/; https://pmc.ncbi.nlm.nih.gov/articles/PMC10767911/</x:v>
      </x:c>
      <x:c r="L50" s="23" t="str">
        <x:v>https://www.informatics.jax.org/quicksearch/summary?queryType=exactPhrase&amp;query=Plcb2</x:v>
      </x:c>
      <x:c r="M50" s="23" t="str">
        <x:v>https://www.uniprot.org/uniprotkb?query=%28gene_exact%3APlcb2%29+AND+%28organism_id%3A10090%29</x:v>
      </x:c>
      <x:c r="N50" s="23" t="str">
        <x:v>https://reactome.org/content/query?q=Plcb2&amp;species=Mus%20musculus</x:v>
      </x:c>
    </x:row>
    <x:row r="51">
      <x:c r="A51" s="22" t="str">
        <x:v>Pld4</x:v>
      </x:c>
      <x:c r="B51" s="23" t="str">
        <x:v>PLD4</x:v>
      </x:c>
      <x:c r="C51" s="23" t="str">
        <x:v>Nucleotide and cofactor metabolism</x:v>
      </x:c>
      <x:c r="D51" s="23" t="str">
        <x:v>Endolysosomal ssDNA/RNA degradation</x:v>
      </x:c>
      <x:c r="E51" s="23" t="str">
        <x:v>5-prime exonuclease</x:v>
      </x:c>
      <x:c r="F51" s="23" t="str">
        <x:v>Direct biochemical</x:v>
      </x:c>
      <x:c r="G51" s="23" t="str">
        <x:v>Degrades single-stranded nucleic acids from their 5-prime end in endolysosomes.</x:v>
      </x:c>
      <x:c r="H51" s="23" t="str">
        <x:v>Despite the name PLD4, it is not supported as a phospholipase D lipid enzyme.</x:v>
      </x:c>
      <x:c r="I51" s="23" t="str">
        <x:v>High</x:v>
      </x:c>
      <x:c r="J51" s="23" t="str">
        <x:v>UNIPROT2025</x:v>
      </x:c>
      <x:c r="K51" s="23" t="str">
        <x:v>https://pubmed.ncbi.nlm.nih.gov/39552041/</x:v>
      </x:c>
      <x:c r="L51" s="23" t="str">
        <x:v>https://www.informatics.jax.org/quicksearch/summary?queryType=exactPhrase&amp;query=Pld4</x:v>
      </x:c>
      <x:c r="M51" s="23" t="str">
        <x:v>https://www.uniprot.org/uniprotkb?query=%28gene_exact%3APld4%29+AND+%28organism_id%3A10090%29</x:v>
      </x:c>
      <x:c r="N51" s="23" t="str">
        <x:v>https://reactome.org/content/query?q=Pld4&amp;species=Mus%20musculus</x:v>
      </x:c>
    </x:row>
    <x:row r="52">
      <x:c r="A52" s="22" t="str">
        <x:v>Psap</x:v>
      </x:c>
      <x:c r="B52" s="23" t="str">
        <x:v>PSAP</x:v>
      </x:c>
      <x:c r="C52" s="23" t="str">
        <x:v>Lipid, sterol and lipoprotein metabolism</x:v>
      </x:c>
      <x:c r="D52" s="23" t="str">
        <x:v>Lysosomal glycosphingolipid degradation</x:v>
      </x:c>
      <x:c r="E52" s="23" t="str">
        <x:v>Hydrolase cofactor precursor</x:v>
      </x:c>
      <x:c r="F52" s="23" t="str">
        <x:v>Direct pathway component</x:v>
      </x:c>
      <x:c r="G52" s="23" t="str">
        <x:v>Proteolytic processing yields saposins A-D, which present membrane sphingolipids to specific lysosomal hydrolases.</x:v>
      </x:c>
      <x:c r="H52" s="23" t="str">
        <x:v>PSAP is mainly a nonenzymatic cofactor precursor; loss perturbs multiple sphingolipid classes.</x:v>
      </x:c>
      <x:c r="I52" s="23" t="str">
        <x:v>High</x:v>
      </x:c>
      <x:c r="J52" s="23" t="str">
        <x:v>PSAP2023;UNIPROT2025;REACTOME2024</x:v>
      </x:c>
      <x:c r="K52" s="23" t="str">
        <x:v>https://www.nature.com/articles/s41467-023-41539-5; https://pubmed.ncbi.nlm.nih.gov/39552041/; https://pmc.ncbi.nlm.nih.gov/articles/PMC10767911/</x:v>
      </x:c>
      <x:c r="L52" s="23" t="str">
        <x:v>https://www.informatics.jax.org/quicksearch/summary?queryType=exactPhrase&amp;query=Psap</x:v>
      </x:c>
      <x:c r="M52" s="23" t="str">
        <x:v>https://www.uniprot.org/uniprotkb?query=%28gene_exact%3APsap%29+AND+%28organism_id%3A10090%29</x:v>
      </x:c>
      <x:c r="N52" s="23" t="str">
        <x:v>https://reactome.org/content/query?q=Psap&amp;species=Mus%20musculus</x:v>
      </x:c>
    </x:row>
    <x:row r="53">
      <x:c r="A53" s="22" t="str">
        <x:v>Psmb10</x:v>
      </x:c>
      <x:c r="B53" s="23" t="str">
        <x:v>PSMB10</x:v>
      </x:c>
      <x:c r="C53" s="23" t="str">
        <x:v>Protein turnover, processing and proteostasis</x:v>
      </x:c>
      <x:c r="D53" s="23" t="str">
        <x:v>Immunoproteasomal proteolysis</x:v>
      </x:c>
      <x:c r="E53" s="23" t="str">
        <x:v>Proteasome catalytic subunit</x:v>
      </x:c>
      <x:c r="F53" s="23" t="str">
        <x:v>Direct biochemical</x:v>
      </x:c>
      <x:c r="G53" s="23" t="str">
        <x:v>Beta2i catalytic subunit contributes trypsin-like cleavage and immune-adapted peptide production.</x:v>
      </x:c>
      <x:c r="H53" s="23" t="str">
        <x:v>Proteasome composition and cleavage depend on interferon state.</x:v>
      </x:c>
      <x:c r="I53" s="23" t="str">
        <x:v>High</x:v>
      </x:c>
      <x:c r="J53" s="23" t="str">
        <x:v>UNIPROT2025;REACTOME2024</x:v>
      </x:c>
      <x:c r="K53" s="23" t="str">
        <x:v>https://pubmed.ncbi.nlm.nih.gov/39552041/; https://pmc.ncbi.nlm.nih.gov/articles/PMC10767911/</x:v>
      </x:c>
      <x:c r="L53" s="23" t="str">
        <x:v>https://www.informatics.jax.org/quicksearch/summary?queryType=exactPhrase&amp;query=Psmb10</x:v>
      </x:c>
      <x:c r="M53" s="23" t="str">
        <x:v>https://www.uniprot.org/uniprotkb?query=%28gene_exact%3APsmb10%29+AND+%28organism_id%3A10090%29</x:v>
      </x:c>
      <x:c r="N53" s="23" t="str">
        <x:v>https://reactome.org/content/query?q=Psmb10&amp;species=Mus%20musculus</x:v>
      </x:c>
    </x:row>
    <x:row r="54">
      <x:c r="A54" s="22" t="str">
        <x:v>Psmb8</x:v>
      </x:c>
      <x:c r="B54" s="23" t="str">
        <x:v>PSMB8</x:v>
      </x:c>
      <x:c r="C54" s="23" t="str">
        <x:v>Protein turnover, processing and proteostasis</x:v>
      </x:c>
      <x:c r="D54" s="23" t="str">
        <x:v>Immunoproteasomal proteolysis</x:v>
      </x:c>
      <x:c r="E54" s="23" t="str">
        <x:v>Proteasome catalytic subunit</x:v>
      </x:c>
      <x:c r="F54" s="23" t="str">
        <x:v>Direct biochemical</x:v>
      </x:c>
      <x:c r="G54" s="23" t="str">
        <x:v>Beta5i/LMP7 catalytic subunit changes chymotrypsin-like cleavage and MHC-I peptide production.</x:v>
      </x:c>
      <x:c r="H54" s="23" t="str">
        <x:v>Also supports global damaged-protein clearance during inflammation.</x:v>
      </x:c>
      <x:c r="I54" s="23" t="str">
        <x:v>High</x:v>
      </x:c>
      <x:c r="J54" s="23" t="str">
        <x:v>UNIPROT2025;REACTOME2024</x:v>
      </x:c>
      <x:c r="K54" s="23" t="str">
        <x:v>https://pubmed.ncbi.nlm.nih.gov/39552041/; https://pmc.ncbi.nlm.nih.gov/articles/PMC10767911/</x:v>
      </x:c>
      <x:c r="L54" s="23" t="str">
        <x:v>https://www.informatics.jax.org/quicksearch/summary?queryType=exactPhrase&amp;query=Psmb8</x:v>
      </x:c>
      <x:c r="M54" s="23" t="str">
        <x:v>https://www.uniprot.org/uniprotkb?query=%28gene_exact%3APsmb8%29+AND+%28organism_id%3A10090%29</x:v>
      </x:c>
      <x:c r="N54" s="23" t="str">
        <x:v>https://reactome.org/content/query?q=Psmb8&amp;species=Mus%20musculus</x:v>
      </x:c>
    </x:row>
    <x:row r="55">
      <x:c r="A55" s="22" t="str">
        <x:v>Psmb9</x:v>
      </x:c>
      <x:c r="B55" s="23" t="str">
        <x:v>PSMB9</x:v>
      </x:c>
      <x:c r="C55" s="23" t="str">
        <x:v>Protein turnover, processing and proteostasis</x:v>
      </x:c>
      <x:c r="D55" s="23" t="str">
        <x:v>Immunoproteasomal proteolysis</x:v>
      </x:c>
      <x:c r="E55" s="23" t="str">
        <x:v>Proteasome catalytic subunit</x:v>
      </x:c>
      <x:c r="F55" s="23" t="str">
        <x:v>Direct biochemical</x:v>
      </x:c>
      <x:c r="G55" s="23" t="str">
        <x:v>Beta1i/LMP2 catalytic subunit alters proteasomal cleavage and antigenic-peptide generation.</x:v>
      </x:c>
      <x:c r="H55" s="23" t="str">
        <x:v>Interferon-inducible complex component.</x:v>
      </x:c>
      <x:c r="I55" s="23" t="str">
        <x:v>High</x:v>
      </x:c>
      <x:c r="J55" s="23" t="str">
        <x:v>UNIPROT2025;REACTOME2024</x:v>
      </x:c>
      <x:c r="K55" s="23" t="str">
        <x:v>https://pubmed.ncbi.nlm.nih.gov/39552041/; https://pmc.ncbi.nlm.nih.gov/articles/PMC10767911/</x:v>
      </x:c>
      <x:c r="L55" s="23" t="str">
        <x:v>https://www.informatics.jax.org/quicksearch/summary?queryType=exactPhrase&amp;query=Psmb9</x:v>
      </x:c>
      <x:c r="M55" s="23" t="str">
        <x:v>https://www.uniprot.org/uniprotkb?query=%28gene_exact%3APsmb9%29+AND+%28organism_id%3A10090%29</x:v>
      </x:c>
      <x:c r="N55" s="23" t="str">
        <x:v>https://reactome.org/content/query?q=Psmb9&amp;species=Mus%20musculus</x:v>
      </x:c>
    </x:row>
    <x:row r="56">
      <x:c r="A56" s="22" t="str">
        <x:v>Psmc3</x:v>
      </x:c>
      <x:c r="B56" s="23" t="str">
        <x:v>PSMC3</x:v>
      </x:c>
      <x:c r="C56" s="23" t="str">
        <x:v>Protein turnover, processing and proteostasis</x:v>
      </x:c>
      <x:c r="D56" s="23" t="str">
        <x:v>ATP-dependent proteasomal degradation</x:v>
      </x:c>
      <x:c r="E56" s="23" t="str">
        <x:v>AAA+ unfoldase ATPase</x:v>
      </x:c>
      <x:c r="F56" s="23" t="str">
        <x:v>Direct pathway component</x:v>
      </x:c>
      <x:c r="G56" s="23" t="str">
        <x:v>Uses ATP to unfold and translocate ubiquitylated substrates into the 20S proteolytic core.</x:v>
      </x:c>
      <x:c r="H56" s="23" t="str">
        <x:v>ATPase component, not the peptide-bond-cleaving active site.</x:v>
      </x:c>
      <x:c r="I56" s="23" t="str">
        <x:v>High</x:v>
      </x:c>
      <x:c r="J56" s="23" t="str">
        <x:v>UNIPROT2025;REACTOME2024</x:v>
      </x:c>
      <x:c r="K56" s="23" t="str">
        <x:v>https://pubmed.ncbi.nlm.nih.gov/39552041/; https://pmc.ncbi.nlm.nih.gov/articles/PMC10767911/</x:v>
      </x:c>
      <x:c r="L56" s="23" t="str">
        <x:v>https://www.informatics.jax.org/quicksearch/summary?queryType=exactPhrase&amp;query=Psmc3</x:v>
      </x:c>
      <x:c r="M56" s="23" t="str">
        <x:v>https://www.uniprot.org/uniprotkb?query=%28gene_exact%3APsmc3%29+AND+%28organism_id%3A10090%29</x:v>
      </x:c>
      <x:c r="N56" s="23" t="str">
        <x:v>https://reactome.org/content/query?q=Psmc3&amp;species=Mus%20musculus</x:v>
      </x:c>
    </x:row>
    <x:row r="57">
      <x:c r="A57" s="22" t="str">
        <x:v>Psme1</x:v>
      </x:c>
      <x:c r="B57" s="23" t="str">
        <x:v>PSME1</x:v>
      </x:c>
      <x:c r="C57" s="23" t="str">
        <x:v>Protein turnover, processing and proteostasis</x:v>
      </x:c>
      <x:c r="D57" s="23" t="str">
        <x:v>PA28 proteasome activation</x:v>
      </x:c>
      <x:c r="E57" s="23" t="str">
        <x:v>Proteasome activator</x:v>
      </x:c>
      <x:c r="F57" s="23" t="str">
        <x:v>Direct pathway component</x:v>
      </x:c>
      <x:c r="G57" s="23" t="str">
        <x:v>PA28alpha-containing rings open/activate 20S proteasomes and alter peptide-product generation.</x:v>
      </x:c>
      <x:c r="H57" s="23" t="str">
        <x:v>Noncatalytic regulator of proteolysis.</x:v>
      </x:c>
      <x:c r="I57" s="23" t="str">
        <x:v>High</x:v>
      </x:c>
      <x:c r="J57" s="23" t="str">
        <x:v>UNIPROT2025;REACTOME2024</x:v>
      </x:c>
      <x:c r="K57" s="23" t="str">
        <x:v>https://pubmed.ncbi.nlm.nih.gov/39552041/; https://pmc.ncbi.nlm.nih.gov/articles/PMC10767911/</x:v>
      </x:c>
      <x:c r="L57" s="23" t="str">
        <x:v>https://www.informatics.jax.org/quicksearch/summary?queryType=exactPhrase&amp;query=Psme1</x:v>
      </x:c>
      <x:c r="M57" s="23" t="str">
        <x:v>https://www.uniprot.org/uniprotkb?query=%28gene_exact%3APsme1%29+AND+%28organism_id%3A10090%29</x:v>
      </x:c>
      <x:c r="N57" s="23" t="str">
        <x:v>https://reactome.org/content/query?q=Psme1&amp;species=Mus%20musculus</x:v>
      </x:c>
    </x:row>
    <x:row r="58">
      <x:c r="A58" s="22" t="str">
        <x:v>Rac2</x:v>
      </x:c>
      <x:c r="B58" s="23" t="str">
        <x:v>RAC2</x:v>
      </x:c>
      <x:c r="C58" s="23" t="str">
        <x:v>Redox metabolism</x:v>
      </x:c>
      <x:c r="D58" s="23" t="str">
        <x:v>NOX2 respiratory burst</x:v>
      </x:c>
      <x:c r="E58" s="23" t="str">
        <x:v>Small-GTPase oxidase activator</x:v>
      </x:c>
      <x:c r="F58" s="23" t="str">
        <x:v>Direct complex component</x:v>
      </x:c>
      <x:c r="G58" s="23" t="str">
        <x:v>GTP-bound RAC2 binds/activates the assembled phagocyte NADPH oxidase, coupling receptor signaling to superoxide production.</x:v>
      </x:c>
      <x:c r="H58" s="23" t="str">
        <x:v>Also has independent actin/chemotaxis roles.</x:v>
      </x:c>
      <x:c r="I58" s="23" t="str">
        <x:v>High</x:v>
      </x:c>
      <x:c r="J58" s="23" t="str">
        <x:v>NOX2_2010;UNIPROT2025</x:v>
      </x:c>
      <x:c r="K58" s="23" t="str">
        <x:v>https://pubmed.ncbi.nlm.nih.gov/20803017/; https://pubmed.ncbi.nlm.nih.gov/39552041/</x:v>
      </x:c>
      <x:c r="L58" s="23" t="str">
        <x:v>https://www.informatics.jax.org/quicksearch/summary?queryType=exactPhrase&amp;query=Rac2</x:v>
      </x:c>
      <x:c r="M58" s="23" t="str">
        <x:v>https://www.uniprot.org/uniprotkb?query=%28gene_exact%3ARac2%29+AND+%28organism_id%3A10090%29</x:v>
      </x:c>
      <x:c r="N58" s="23" t="str">
        <x:v>https://reactome.org/content/query?q=Rac2&amp;species=Mus%20musculus</x:v>
      </x:c>
    </x:row>
    <x:row r="59">
      <x:c r="A59" s="22" t="str">
        <x:v>Retnlg</x:v>
      </x:c>
      <x:c r="B59" s="23" t="str">
        <x:v>RETN (family analog)</x:v>
      </x:c>
      <x:c r="C59" s="23" t="str">
        <x:v>Metabolic regulation and nutrient sensing</x:v>
      </x:c>
      <x:c r="D59" s="23" t="str">
        <x:v>Resistin-family inflammatory/metabolic signaling</x:v>
      </x:c>
      <x:c r="E59" s="23" t="str">
        <x:v>Secreted regulator</x:v>
      </x:c>
      <x:c r="F59" s="23" t="str">
        <x:v>Predicted/uncertain</x:v>
      </x:c>
      <x:c r="G59" s="23" t="str">
        <x:v>Associated with granulocyte inflammatory states and reported systemic metabolic phenotypes in mice.</x:v>
      </x:c>
      <x:c r="H59" s="23" t="str">
        <x:v>Receptor and direct metabolic mechanism are not established; no strict human ortholog.</x:v>
      </x:c>
      <x:c r="I59" s="23" t="str">
        <x:v>Low</x:v>
      </x:c>
      <x:c r="J59" s="23" t="str">
        <x:v>MGI2020</x:v>
      </x:c>
      <x:c r="K59" s="23" t="str">
        <x:v>https://pubmed.ncbi.nlm.nih.gov/33231642/</x:v>
      </x:c>
      <x:c r="L59" s="23" t="str">
        <x:v>https://www.informatics.jax.org/quicksearch/summary?queryType=exactPhrase&amp;query=Retnlg</x:v>
      </x:c>
      <x:c r="M59" s="23" t="str">
        <x:v>https://www.uniprot.org/uniprotkb?query=%28gene_exact%3ARetnlg%29+AND+%28organism_id%3A10090%29</x:v>
      </x:c>
      <x:c r="N59" s="23" t="str">
        <x:v>https://reactome.org/content/query?q=Retnlg&amp;species=Mus%20musculus</x:v>
      </x:c>
    </x:row>
    <x:row r="60">
      <x:c r="A60" s="22" t="str">
        <x:v>S100a8</x:v>
      </x:c>
      <x:c r="B60" s="23" t="str">
        <x:v>S100A8</x:v>
      </x:c>
      <x:c r="C60" s="23" t="str">
        <x:v>Metal, iron and heme homeostasis</x:v>
      </x:c>
      <x:c r="D60" s="23" t="str">
        <x:v>Calprotectin-mediated metal sequestration</x:v>
      </x:c>
      <x:c r="E60" s="23" t="str">
        <x:v>Metal-binding protein</x:v>
      </x:c>
      <x:c r="F60" s="23" t="str">
        <x:v>Direct binding</x:v>
      </x:c>
      <x:c r="G60" s="23" t="str">
        <x:v>As an S100A8-S100A9 heterodimer, chelates Zn2+, Mn2+ and other metals to restrict microbial nutrient access.</x:v>
      </x:c>
      <x:c r="H60" s="23" t="str">
        <x:v>Not a canonical iron transporter; extracellular DAMP signaling is a separate function.</x:v>
      </x:c>
      <x:c r="I60" s="23" t="str">
        <x:v>High</x:v>
      </x:c>
      <x:c r="J60" s="23" t="str">
        <x:v>UNIPROT2025</x:v>
      </x:c>
      <x:c r="K60" s="23" t="str">
        <x:v>https://pubmed.ncbi.nlm.nih.gov/39552041/</x:v>
      </x:c>
      <x:c r="L60" s="23" t="str">
        <x:v>https://www.informatics.jax.org/quicksearch/summary?queryType=exactPhrase&amp;query=S100a8</x:v>
      </x:c>
      <x:c r="M60" s="23" t="str">
        <x:v>https://www.uniprot.org/uniprotkb?query=%28gene_exact%3AS100a8%29+AND+%28organism_id%3A10090%29</x:v>
      </x:c>
      <x:c r="N60" s="23" t="str">
        <x:v>https://reactome.org/content/query?q=S100a8&amp;species=Mus%20musculus</x:v>
      </x:c>
    </x:row>
    <x:row r="61">
      <x:c r="A61" s="22" t="str">
        <x:v>S100a9</x:v>
      </x:c>
      <x:c r="B61" s="23" t="str">
        <x:v>S100A9</x:v>
      </x:c>
      <x:c r="C61" s="23" t="str">
        <x:v>Metal, iron and heme homeostasis</x:v>
      </x:c>
      <x:c r="D61" s="23" t="str">
        <x:v>Calprotectin-mediated metal sequestration</x:v>
      </x:c>
      <x:c r="E61" s="23" t="str">
        <x:v>Metal-binding protein</x:v>
      </x:c>
      <x:c r="F61" s="23" t="str">
        <x:v>Direct binding</x:v>
      </x:c>
      <x:c r="G61" s="23" t="str">
        <x:v>As an S100A8-S100A9 heterodimer, chelates Zn2+, Mn2+ and other transition metals during nutritional immunity.</x:v>
      </x:c>
      <x:c r="H61" s="23" t="str">
        <x:v>Not a canonical iron transporter; oxidation and oligomer state affect functions.</x:v>
      </x:c>
      <x:c r="I61" s="23" t="str">
        <x:v>High</x:v>
      </x:c>
      <x:c r="J61" s="23" t="str">
        <x:v>UNIPROT2025</x:v>
      </x:c>
      <x:c r="K61" s="23" t="str">
        <x:v>https://pubmed.ncbi.nlm.nih.gov/39552041/</x:v>
      </x:c>
      <x:c r="L61" s="23" t="str">
        <x:v>https://www.informatics.jax.org/quicksearch/summary?queryType=exactPhrase&amp;query=S100a9</x:v>
      </x:c>
      <x:c r="M61" s="23" t="str">
        <x:v>https://www.uniprot.org/uniprotkb?query=%28gene_exact%3AS100a9%29+AND+%28organism_id%3A10090%29</x:v>
      </x:c>
      <x:c r="N61" s="23" t="str">
        <x:v>https://reactome.org/content/query?q=S100a9&amp;species=Mus%20musculus</x:v>
      </x:c>
    </x:row>
    <x:row r="62">
      <x:c r="A62" s="22" t="str">
        <x:v>Serpine2</x:v>
      </x:c>
      <x:c r="B62" s="23" t="str">
        <x:v>SERPINE2</x:v>
      </x:c>
      <x:c r="C62" s="23" t="str">
        <x:v>Protein turnover, processing and proteostasis</x:v>
      </x:c>
      <x:c r="D62" s="23" t="str">
        <x:v>Serine-protease inhibition</x:v>
      </x:c>
      <x:c r="E62" s="23" t="str">
        <x:v>Serpin</x:v>
      </x:c>
      <x:c r="F62" s="23" t="str">
        <x:v>Direct regulatory</x:v>
      </x:c>
      <x:c r="G62" s="23" t="str">
        <x:v>Forms inhibitory complexes with thrombin, plasmin and selected extracellular serine proteases.</x:v>
      </x:c>
      <x:c r="H62" s="23" t="str">
        <x:v>Regulates rather than catalyzes proteolysis.</x:v>
      </x:c>
      <x:c r="I62" s="23" t="str">
        <x:v>High</x:v>
      </x:c>
      <x:c r="J62" s="23" t="str">
        <x:v>UNIPROT2025</x:v>
      </x:c>
      <x:c r="K62" s="23" t="str">
        <x:v>https://pubmed.ncbi.nlm.nih.gov/39552041/</x:v>
      </x:c>
      <x:c r="L62" s="23" t="str">
        <x:v>https://www.informatics.jax.org/quicksearch/summary?queryType=exactPhrase&amp;query=Serpine2</x:v>
      </x:c>
      <x:c r="M62" s="23" t="str">
        <x:v>https://www.uniprot.org/uniprotkb?query=%28gene_exact%3ASerpine2%29+AND+%28organism_id%3A10090%29</x:v>
      </x:c>
      <x:c r="N62" s="23" t="str">
        <x:v>https://reactome.org/content/query?q=Serpine2&amp;species=Mus%20musculus</x:v>
      </x:c>
    </x:row>
    <x:row r="63">
      <x:c r="A63" s="22" t="str">
        <x:v>Slc15a3</x:v>
      </x:c>
      <x:c r="B63" s="23" t="str">
        <x:v>SLC15A3</x:v>
      </x:c>
      <x:c r="C63" s="23" t="str">
        <x:v>Amino-acid and peptide metabolism</x:v>
      </x:c>
      <x:c r="D63" s="23" t="str">
        <x:v>Endolysosomal histidine/dipeptide transport</x:v>
      </x:c>
      <x:c r="E63" s="23" t="str">
        <x:v>Proton-coupled transporter</x:v>
      </x:c>
      <x:c r="F63" s="23" t="str">
        <x:v>Direct transport</x:v>
      </x:c>
      <x:c r="G63" s="23" t="str">
        <x:v>Exports/translocates histidine and selected small peptides across endolysosomal membranes, affecting nutrient and innate-signaling homeostasis.</x:v>
      </x:c>
      <x:c r="H63" s="23" t="str">
        <x:v>Exact transport direction can depend on proton gradient and experimental system.</x:v>
      </x:c>
      <x:c r="I63" s="23" t="str">
        <x:v>High</x:v>
      </x:c>
      <x:c r="J63" s="23" t="str">
        <x:v>UNIPROT2025</x:v>
      </x:c>
      <x:c r="K63" s="23" t="str">
        <x:v>https://pubmed.ncbi.nlm.nih.gov/39552041/</x:v>
      </x:c>
      <x:c r="L63" s="23" t="str">
        <x:v>https://www.informatics.jax.org/quicksearch/summary?queryType=exactPhrase&amp;query=Slc15a3</x:v>
      </x:c>
      <x:c r="M63" s="23" t="str">
        <x:v>https://www.uniprot.org/uniprotkb?query=%28gene_exact%3ASlc15a3%29+AND+%28organism_id%3A10090%29</x:v>
      </x:c>
      <x:c r="N63" s="23" t="str">
        <x:v>https://reactome.org/content/query?q=Slc15a3&amp;species=Mus%20musculus</x:v>
      </x:c>
    </x:row>
    <x:row r="64">
      <x:c r="A64" s="22" t="str">
        <x:v>Slco2b1</x:v>
      </x:c>
      <x:c r="B64" s="23" t="str">
        <x:v>SLCO2B1</x:v>
      </x:c>
      <x:c r="C64" s="23" t="str">
        <x:v>Xenobiotic and endobiotic handling</x:v>
      </x:c>
      <x:c r="D64" s="23" t="str">
        <x:v>Organic-anion/steroid-conjugate/lipid-mediator uptake</x:v>
      </x:c>
      <x:c r="E64" s="23" t="str">
        <x:v>Uptake transporter</x:v>
      </x:c>
      <x:c r="F64" s="23" t="str">
        <x:v>Direct transport</x:v>
      </x:c>
      <x:c r="G64" s="23" t="str">
        <x:v>Transports diverse organic anions including steroid conjugates, prostaglandins and drugs into cells.</x:v>
      </x:c>
      <x:c r="H64" s="23" t="str">
        <x:v>Substrate profile is broad and species/tissue dependent.</x:v>
      </x:c>
      <x:c r="I64" s="23" t="str">
        <x:v>High</x:v>
      </x:c>
      <x:c r="J64" s="23" t="str">
        <x:v>UNIPROT2025;REACTOME2024</x:v>
      </x:c>
      <x:c r="K64" s="23" t="str">
        <x:v>https://pubmed.ncbi.nlm.nih.gov/39552041/; https://pmc.ncbi.nlm.nih.gov/articles/PMC10767911/</x:v>
      </x:c>
      <x:c r="L64" s="23" t="str">
        <x:v>https://www.informatics.jax.org/quicksearch/summary?queryType=exactPhrase&amp;query=Slco2b1</x:v>
      </x:c>
      <x:c r="M64" s="23" t="str">
        <x:v>https://www.uniprot.org/uniprotkb?query=%28gene_exact%3ASlco2b1%29+AND+%28organism_id%3A10090%29</x:v>
      </x:c>
      <x:c r="N64" s="23" t="str">
        <x:v>https://reactome.org/content/query?q=Slco2b1&amp;species=Mus%20musculus</x:v>
      </x:c>
    </x:row>
    <x:row r="65">
      <x:c r="A65" s="22" t="str">
        <x:v>Spint1</x:v>
      </x:c>
      <x:c r="B65" s="23" t="str">
        <x:v>SPINT1</x:v>
      </x:c>
      <x:c r="C65" s="23" t="str">
        <x:v>Protein turnover, processing and proteostasis</x:v>
      </x:c>
      <x:c r="D65" s="23" t="str">
        <x:v>Pericellular serine-protease inhibition</x:v>
      </x:c>
      <x:c r="E65" s="23" t="str">
        <x:v>Kunitz inhibitor</x:v>
      </x:c>
      <x:c r="F65" s="23" t="str">
        <x:v>Direct regulatory</x:v>
      </x:c>
      <x:c r="G65" s="23" t="str">
        <x:v>Inhibits matriptase and related extracellular serine proteases to limit pericellular proteolysis.</x:v>
      </x:c>
      <x:c r="H65" s="23" t="str">
        <x:v>Regulator rather than metabolic enzyme.</x:v>
      </x:c>
      <x:c r="I65" s="23" t="str">
        <x:v>High</x:v>
      </x:c>
      <x:c r="J65" s="23" t="str">
        <x:v>UNIPROT2025</x:v>
      </x:c>
      <x:c r="K65" s="23" t="str">
        <x:v>https://pubmed.ncbi.nlm.nih.gov/39552041/</x:v>
      </x:c>
      <x:c r="L65" s="23" t="str">
        <x:v>https://www.informatics.jax.org/quicksearch/summary?queryType=exactPhrase&amp;query=Spint1</x:v>
      </x:c>
      <x:c r="M65" s="23" t="str">
        <x:v>https://www.uniprot.org/uniprotkb?query=%28gene_exact%3ASpint1%29+AND+%28organism_id%3A10090%29</x:v>
      </x:c>
      <x:c r="N65" s="23" t="str">
        <x:v>https://reactome.org/content/query?q=Spint1&amp;species=Mus%20musculus</x:v>
      </x:c>
    </x:row>
    <x:row r="66">
      <x:c r="A66" s="22" t="str">
        <x:v>Trem2</x:v>
      </x:c>
      <x:c r="B66" s="23" t="str">
        <x:v>TREM2</x:v>
      </x:c>
      <x:c r="C66" s="23" t="str">
        <x:v>Lipid, sterol and lipoprotein metabolism</x:v>
      </x:c>
      <x:c r="D66" s="23" t="str">
        <x:v>Microglial cholesterol/lipid handling after phagocytosis</x:v>
      </x:c>
      <x:c r="E66" s="23" t="str">
        <x:v>Lipid-sensing receptor</x:v>
      </x:c>
      <x:c r="F66" s="23" t="str">
        <x:v>Upstream regulatory</x:v>
      </x:c>
      <x:c r="G66" s="23" t="str">
        <x:v>TREM2-TYROBP signaling enables transcriptional and cellular adaptation to myelin/lipid uptake; deficiency causes cholesteryl-ester accumulation and impaired lipid processing.</x:v>
      </x:c>
      <x:c r="H66" s="23" t="str">
        <x:v>Regulatory receptor role, especially under chronic phagocytic challenge; not a lipid enzyme.</x:v>
      </x:c>
      <x:c r="I66" s="23" t="str">
        <x:v>High</x:v>
      </x:c>
      <x:c r="J66" s="23" t="str">
        <x:v>TREM2_2020</x:v>
      </x:c>
      <x:c r="K66" s="23" t="str">
        <x:v>https://pubmed.ncbi.nlm.nih.gov/31902528/</x:v>
      </x:c>
      <x:c r="L66" s="23" t="str">
        <x:v>https://www.informatics.jax.org/quicksearch/summary?queryType=exactPhrase&amp;query=Trem2</x:v>
      </x:c>
      <x:c r="M66" s="23" t="str">
        <x:v>https://www.uniprot.org/uniprotkb?query=%28gene_exact%3ATrem2%29+AND+%28organism_id%3A10090%29</x:v>
      </x:c>
      <x:c r="N66" s="23" t="str">
        <x:v>https://reactome.org/content/query?q=Trem2&amp;species=Mus%20musculus</x:v>
      </x:c>
    </x:row>
    <x:row r="67">
      <x:c r="A67" s="22" t="str">
        <x:v>Tspo</x:v>
      </x:c>
      <x:c r="B67" s="23" t="str">
        <x:v>TSPO</x:v>
      </x:c>
      <x:c r="C67" s="23" t="str">
        <x:v>Lipid, sterol and lipoprotein metabolism</x:v>
      </x:c>
      <x:c r="D67" s="23" t="str">
        <x:v>Mitochondrial cholesterol handling/steroidogenesis</x:v>
      </x:c>
      <x:c r="E67" s="23" t="str">
        <x:v>Cholesterol-binding mitochondrial protein</x:v>
      </x:c>
      <x:c r="F67" s="23" t="str">
        <x:v>Disputed/contextual</x:v>
      </x:c>
      <x:c r="G67" s="23" t="str">
        <x:v>Binds cholesterol and has been proposed to facilitate outer-to-inner mitochondrial cholesterol movement and steroid synthesis.</x:v>
      </x:c>
      <x:c r="H67" s="23" t="str">
        <x:v>Whole-body/cell knockout studies challenge an obligatory steroidogenic role; retain as disputed, not definitive.</x:v>
      </x:c>
      <x:c r="I67" s="23" t="str">
        <x:v>Moderate</x:v>
      </x:c>
      <x:c r="J67" s="23" t="str">
        <x:v>TSPO2018;UNIPROT2025</x:v>
      </x:c>
      <x:c r="K67" s="23" t="str">
        <x:v>https://pmc.ncbi.nlm.nih.gov/articles/PMC5748373/; https://pubmed.ncbi.nlm.nih.gov/39552041/</x:v>
      </x:c>
      <x:c r="L67" s="23" t="str">
        <x:v>https://www.informatics.jax.org/quicksearch/summary?queryType=exactPhrase&amp;query=Tspo</x:v>
      </x:c>
      <x:c r="M67" s="23" t="str">
        <x:v>https://www.uniprot.org/uniprotkb?query=%28gene_exact%3ATspo%29+AND+%28organism_id%3A10090%29</x:v>
      </x:c>
      <x:c r="N67" s="23" t="str">
        <x:v>https://reactome.org/content/query?q=Tspo&amp;species=Mus%20musculus</x:v>
      </x:c>
    </x:row>
    <x:row r="68">
      <x:c r="A68" s="22" t="str">
        <x:v>Ucp2</x:v>
      </x:c>
      <x:c r="B68" s="23" t="str">
        <x:v>UCP2</x:v>
      </x:c>
      <x:c r="C68" s="23" t="str">
        <x:v>Mitochondrial bioenergetics</x:v>
      </x:c>
      <x:c r="D68" s="23" t="str">
        <x:v>Mitochondrial coupling and substrate use</x:v>
      </x:c>
      <x:c r="E68" s="23" t="str">
        <x:v>Inner-membrane carrier</x:v>
      </x:c>
      <x:c r="F68" s="23" t="str">
        <x:v>Direct/physiology debated</x:v>
      </x:c>
      <x:c r="G68" s="23" t="str">
        <x:v>Influences mitochondrial membrane potential, ATP coupling and preference for glucose versus fatty-acid-derived substrates.</x:v>
      </x:c>
      <x:c r="H68" s="23" t="str">
        <x:v>Physiological uncoupling magnitude and transported species remain debated; avoid equating UCP2 with UCP1 thermogenesis.</x:v>
      </x:c>
      <x:c r="I68" s="23" t="str">
        <x:v>Moderate</x:v>
      </x:c>
      <x:c r="J68" s="23" t="str">
        <x:v>UCP2_2014;UNIPROT2025</x:v>
      </x:c>
      <x:c r="K68" s="23" t="str">
        <x:v>https://pubmed.ncbi.nlm.nih.gov/25256770/; https://pubmed.ncbi.nlm.nih.gov/39552041/</x:v>
      </x:c>
      <x:c r="L68" s="23" t="str">
        <x:v>https://www.informatics.jax.org/quicksearch/summary?queryType=exactPhrase&amp;query=Ucp2</x:v>
      </x:c>
      <x:c r="M68" s="23" t="str">
        <x:v>https://www.uniprot.org/uniprotkb?query=%28gene_exact%3AUcp2%29+AND+%28organism_id%3A10090%29</x:v>
      </x:c>
      <x:c r="N68" s="23" t="str">
        <x:v>https://reactome.org/content/query?q=Ucp2&amp;species=Mus%20musculus</x:v>
      </x:c>
    </x:row>
    <x:row r="69">
      <x:c r="A69" s="22" t="str">
        <x:v>Ucp2</x:v>
      </x:c>
      <x:c r="B69" s="23" t="str">
        <x:v>UCP2</x:v>
      </x:c>
      <x:c r="C69" s="23" t="str">
        <x:v>Redox metabolism</x:v>
      </x:c>
      <x:c r="D69" s="23" t="str">
        <x:v>Mitochondrial ROS regulation</x:v>
      </x:c>
      <x:c r="E69" s="23" t="str">
        <x:v>Inner-membrane carrier</x:v>
      </x:c>
      <x:c r="F69" s="23" t="str">
        <x:v>Regulatory/contextual</x:v>
      </x:c>
      <x:c r="G69" s="23" t="str">
        <x:v>Often limits mitochondrial ROS accumulation by altering membrane potential/substrate oxidation.</x:v>
      </x:c>
      <x:c r="H69" s="23" t="str">
        <x:v>Direction and magnitude vary by tissue and metabolic state.</x:v>
      </x:c>
      <x:c r="I69" s="23" t="str">
        <x:v>Moderate</x:v>
      </x:c>
      <x:c r="J69" s="23" t="str">
        <x:v>UCP2_2014</x:v>
      </x:c>
      <x:c r="K69" s="23" t="str">
        <x:v>https://pubmed.ncbi.nlm.nih.gov/25256770/</x:v>
      </x:c>
      <x:c r="L69" s="23" t="str">
        <x:v>https://www.informatics.jax.org/quicksearch/summary?queryType=exactPhrase&amp;query=Ucp2</x:v>
      </x:c>
      <x:c r="M69" s="23" t="str">
        <x:v>https://www.uniprot.org/uniprotkb?query=%28gene_exact%3AUcp2%29+AND+%28organism_id%3A10090%29</x:v>
      </x:c>
      <x:c r="N69" s="23" t="str">
        <x:v>https://reactome.org/content/query?q=Ucp2&amp;species=Mus%20musculus</x:v>
      </x:c>
    </x:row>
    <x:row r="70">
      <x:c r="A70" s="22" t="str">
        <x:v>Xdh</x:v>
      </x:c>
      <x:c r="B70" s="23" t="str">
        <x:v>XDH</x:v>
      </x:c>
      <x:c r="C70" s="23" t="str">
        <x:v>Nucleotide and cofactor metabolism</x:v>
      </x:c>
      <x:c r="D70" s="23" t="str">
        <x:v>Purine catabolism to urate</x:v>
      </x:c>
      <x:c r="E70" s="23" t="str">
        <x:v>Molybdenum-flavin oxidoreductase</x:v>
      </x:c>
      <x:c r="F70" s="23" t="str">
        <x:v>Direct biochemical</x:v>
      </x:c>
      <x:c r="G70" s="23" t="str">
        <x:v>Catalyzes hypoxanthine to xanthine and xanthine to urate, completing major purine-degradation steps in humans and mice.</x:v>
      </x:c>
      <x:c r="H70" s="23" t="str">
        <x:v>Human urate handling differs from mouse because mice retain uricase.</x:v>
      </x:c>
      <x:c r="I70" s="23" t="str">
        <x:v>High</x:v>
      </x:c>
      <x:c r="J70" s="23" t="str">
        <x:v>XDH2020;UNIPROT2025;REACTOME2024</x:v>
      </x:c>
      <x:c r="K70" s="23" t="str">
        <x:v>https://pubmed.ncbi.nlm.nih.gov/32893671/; https://pubmed.ncbi.nlm.nih.gov/39552041/; https://pmc.ncbi.nlm.nih.gov/articles/PMC10767911/</x:v>
      </x:c>
      <x:c r="L70" s="23" t="str">
        <x:v>https://www.informatics.jax.org/quicksearch/summary?queryType=exactPhrase&amp;query=Xdh</x:v>
      </x:c>
      <x:c r="M70" s="23" t="str">
        <x:v>https://www.uniprot.org/uniprotkb?query=%28gene_exact%3AXdh%29+AND+%28organism_id%3A10090%29</x:v>
      </x:c>
      <x:c r="N70" s="23" t="str">
        <x:v>https://reactome.org/content/query?q=Xdh&amp;species=Mus%20musculus</x:v>
      </x:c>
    </x:row>
    <x:row r="71">
      <x:c r="A71" s="24" t="str">
        <x:v>Xdh</x:v>
      </x:c>
      <x:c r="B71" s="25" t="str">
        <x:v>XDH</x:v>
      </x:c>
      <x:c r="C71" s="25" t="str">
        <x:v>Redox metabolism</x:v>
      </x:c>
      <x:c r="D71" s="25" t="str">
        <x:v>Xanthine-oxidoreductase ROS production</x:v>
      </x:c>
      <x:c r="E71" s="25" t="str">
        <x:v>Oxidoreductase</x:v>
      </x:c>
      <x:c r="F71" s="25" t="str">
        <x:v>Direct biochemical</x:v>
      </x:c>
      <x:c r="G71" s="25" t="str">
        <x:v>Oxidase-form enzyme can reduce oxygen to superoxide/H2O2 during purine oxidation.</x:v>
      </x:c>
      <x:c r="H71" s="25" t="str">
        <x:v>Dehydrogenase versus oxidase state and tissue context determine ROS output.</x:v>
      </x:c>
      <x:c r="I71" s="25" t="str">
        <x:v>High</x:v>
      </x:c>
      <x:c r="J71" s="25" t="str">
        <x:v>XDH2020</x:v>
      </x:c>
      <x:c r="K71" s="25" t="str">
        <x:v>https://pubmed.ncbi.nlm.nih.gov/32893671/</x:v>
      </x:c>
      <x:c r="L71" s="25" t="str">
        <x:v>https://www.informatics.jax.org/quicksearch/summary?queryType=exactPhrase&amp;query=Xdh</x:v>
      </x:c>
      <x:c r="M71" s="25" t="str">
        <x:v>https://www.uniprot.org/uniprotkb?query=%28gene_exact%3AXdh%29+AND+%28organism_id%3A10090%29</x:v>
      </x:c>
      <x:c r="N71" s="25" t="str">
        <x:v>https://reactome.org/content/query?q=Xdh&amp;species=Mus%20musculus</x:v>
      </x:c>
    </x:row>
  </x:sheetData>
  <x:mergeCells>
    <x:mergeCell ref="A1:N1"/>
    <x:mergeCell ref="A2:N2"/>
  </x:mergeCells>
  <x:conditionalFormatting sqref="I4:I71">
    <x:cfRule type="containsText" dxfId="3" priority="1" operator="containsText" text="High"/>
    <x:cfRule type="containsText" dxfId="4" priority="2" operator="containsText" text="Moderate"/>
    <x:cfRule type="containsText" dxfId="5" priority="3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8c8e6cee98a41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1" hidden="0" customWidth="1"/>
    <x:col min="3" max="3" width="30" hidden="0" customWidth="1"/>
    <x:col min="4" max="4" width="34" hidden="0" customWidth="1"/>
    <x:col min="5" max="5" width="31" hidden="0" customWidth="1"/>
    <x:col min="6" max="6" width="23" hidden="0" customWidth="1"/>
    <x:col min="7" max="7" width="58" hidden="0" customWidth="1"/>
    <x:col min="8" max="8" width="52" hidden="0" customWidth="1"/>
    <x:col min="9" max="9" width="14" hidden="0" customWidth="1"/>
    <x:col min="10" max="10" width="27" hidden="0" customWidth="1"/>
    <x:col min="11" max="11" width="50" hidden="0" customWidth="1"/>
    <x:col min="12" max="12" width="40" hidden="0" customWidth="1"/>
    <x:col min="13" max="13" width="40" hidden="0" customWidth="1"/>
    <x:col min="14" max="14" width="40" hidden="0" customWidth="1"/>
  </x:cols>
  <x:sheetData>
    <x:row r="1" ht="26" customHeight="1">
      <x:c r="A1" s="56" t="str">
        <x:v>Cell-death-focused annotations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 ht="34" customHeight="1">
      <x:c r="A2" s="7" t="str">
        <x:v>NCCD terminology is used. Core/upstream mechanisms, contextual modifiers, inflammatory cargo and post-death clearance are separated to prevent over-annotation.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34" customHeight="1">
      <x:c r="A3" s="66" t="str">
        <x:v>Mouse symbol</x:v>
      </x:c>
      <x:c r="B3" s="67" t="str">
        <x:v>Human ortholog / analog</x:v>
      </x:c>
      <x:c r="C3" s="67" t="str">
        <x:v>Broad death category</x:v>
      </x:c>
      <x:c r="D3" s="67" t="str">
        <x:v>Specific modality / relation</x:v>
      </x:c>
      <x:c r="E3" s="67" t="str">
        <x:v>Relation class</x:v>
      </x:c>
      <x:c r="F3" s="67" t="str">
        <x:v>Effect</x:v>
      </x:c>
      <x:c r="G3" s="67" t="str">
        <x:v>Exact function / relation</x:v>
      </x:c>
      <x:c r="H3" s="67" t="str">
        <x:v>Context / caveat</x:v>
      </x:c>
      <x:c r="I3" s="67" t="str">
        <x:v>Evidence strength</x:v>
      </x:c>
      <x:c r="J3" s="67" t="str">
        <x:v>Reference keys</x:v>
      </x:c>
      <x:c r="K3" s="67" t="str">
        <x:v>Peer-reviewed reference URL(s)</x:v>
      </x:c>
      <x:c r="L3" s="67" t="str">
        <x:v>MGI</x:v>
      </x:c>
      <x:c r="M3" s="67" t="str">
        <x:v>UniProt</x:v>
      </x:c>
      <x:c r="N3" s="67" t="str">
        <x:v>Reactome</x:v>
      </x:c>
    </x:row>
    <x:row r="4">
      <x:c r="A4" s="22" t="str">
        <x:v>Atf3</x:v>
      </x:c>
      <x:c r="B4" s="23" t="str">
        <x:v>ATF3</x:v>
      </x:c>
      <x:c r="C4" s="23" t="str">
        <x:v>Apoptosis</x:v>
      </x:c>
      <x:c r="D4" s="23" t="str">
        <x:v>Apoptosis / stress-induced death</x:v>
      </x:c>
      <x:c r="E4" s="23" t="str">
        <x:v>Transcriptional modifier</x:v>
      </x:c>
      <x:c r="F4" s="23" t="str">
        <x:v>Bidirectional/context-dependent</x:v>
      </x:c>
      <x:c r="G4" s="23" t="str">
        <x:v>ATF3 can induce or repress pro-survival and pro-apoptotic genes during ER, oxidative, genotoxic or inflammatory stress.</x:v>
      </x:c>
      <x:c r="H4" s="23" t="str">
        <x:v>Not a core apoptosis component; direction depends on cell type, stimulus and dimer partners.</x:v>
      </x:c>
      <x:c r="I4" s="23" t="str">
        <x:v>Moderate</x:v>
      </x:c>
      <x:c r="J4" s="23" t="str">
        <x:v>NCCD2018</x:v>
      </x:c>
      <x:c r="K4" s="23" t="str">
        <x:v>https://pubmed.ncbi.nlm.nih.gov/29362479/</x:v>
      </x:c>
      <x:c r="L4" s="23" t="str">
        <x:v>https://www.informatics.jax.org/quicksearch/summary?queryType=exactPhrase&amp;query=Atf3</x:v>
      </x:c>
      <x:c r="M4" s="23" t="str">
        <x:v>https://www.uniprot.org/uniprotkb?query=%28gene_exact%3AAtf3%29+AND+%28organism_id%3A10090%29</x:v>
      </x:c>
      <x:c r="N4" s="23" t="str">
        <x:v>https://reactome.org/content/query?q=Atf3&amp;species=Mus%20musculus</x:v>
      </x:c>
    </x:row>
    <x:row r="5">
      <x:c r="A5" s="22" t="str">
        <x:v>Bcl2a1b</x:v>
      </x:c>
      <x:c r="B5" s="23" t="str">
        <x:v>BCL2A1</x:v>
      </x:c>
      <x:c r="C5" s="23" t="str">
        <x:v>Apoptosis</x:v>
      </x:c>
      <x:c r="D5" s="23" t="str">
        <x:v>Intrinsic apoptosis</x:v>
      </x:c>
      <x:c r="E5" s="23" t="str">
        <x:v>Core pathway regulator</x:v>
      </x:c>
      <x:c r="F5" s="23" t="str">
        <x:v>Inhibits death</x:v>
      </x:c>
      <x:c r="G5" s="23" t="str">
        <x:v>Anti-apoptotic BCL2A1-family protein binds BH3-only/effector proteins and restrains mitochondrial outer-membrane permeabilization.</x:v>
      </x:c>
      <x:c r="H5" s="23" t="str">
        <x:v>Mouse Bcl2a1b is one of several paralogs mapping to human BCL2A1.</x:v>
      </x:c>
      <x:c r="I5" s="23" t="str">
        <x:v>High</x:v>
      </x:c>
      <x:c r="J5" s="23" t="str">
        <x:v>BCL2A1_2012;NCCD2018</x:v>
      </x:c>
      <x:c r="K5" s="23" t="str">
        <x:v>https://pubmed.ncbi.nlm.nih.gov/22075983/; https://pubmed.ncbi.nlm.nih.gov/29362479/</x:v>
      </x:c>
      <x:c r="L5" s="23" t="str">
        <x:v>https://www.informatics.jax.org/quicksearch/summary?queryType=exactPhrase&amp;query=Bcl2a1b</x:v>
      </x:c>
      <x:c r="M5" s="23" t="str">
        <x:v>https://www.uniprot.org/uniprotkb?query=%28gene_exact%3ABcl2a1b%29+AND+%28organism_id%3A10090%29</x:v>
      </x:c>
      <x:c r="N5" s="23" t="str">
        <x:v>https://reactome.org/content/query?q=Bcl2a1b&amp;species=Mus%20musculus</x:v>
      </x:c>
    </x:row>
    <x:row r="6">
      <x:c r="A6" s="22" t="str">
        <x:v>C1qa</x:v>
      </x:c>
      <x:c r="B6" s="23" t="str">
        <x:v>C1QA</x:v>
      </x:c>
      <x:c r="C6" s="23" t="str">
        <x:v>Efferocytosis / post-death clearance</x:v>
      </x:c>
      <x:c r="D6" s="23" t="str">
        <x:v>Apoptotic-cell clearance (efferocytosis)</x:v>
      </x:c>
      <x:c r="E6" s="23" t="str">
        <x:v>Post-death recognition/clearance</x:v>
      </x:c>
      <x:c r="F6" s="23" t="str">
        <x:v>Promotes clearance</x:v>
      </x:c>
      <x:c r="G6" s="23" t="str">
        <x:v>C1q binds dying-cell material and bridges/opsonizes it for phagocytic removal.</x:v>
      </x:c>
      <x:c r="H6" s="23" t="str">
        <x:v>Does not execute cell death; classify as clearance of apoptotic cells.</x:v>
      </x:c>
      <x:c r="I6" s="23" t="str">
        <x:v>High</x:v>
      </x:c>
      <x:c r="J6" s="23" t="str">
        <x:v>C1Q2014;NCCD2018</x:v>
      </x:c>
      <x:c r="K6" s="23" t="str">
        <x:v>https://pmc.ncbi.nlm.nih.gov/articles/PMC4040260/; https://pubmed.ncbi.nlm.nih.gov/29362479/</x:v>
      </x:c>
      <x:c r="L6" s="23" t="str">
        <x:v>https://www.informatics.jax.org/quicksearch/summary?queryType=exactPhrase&amp;query=C1qa</x:v>
      </x:c>
      <x:c r="M6" s="23" t="str">
        <x:v>https://www.uniprot.org/uniprotkb?query=%28gene_exact%3AC1qa%29+AND+%28organism_id%3A10090%29</x:v>
      </x:c>
      <x:c r="N6" s="23" t="str">
        <x:v>https://reactome.org/content/query?q=C1qa&amp;species=Mus%20musculus</x:v>
      </x:c>
    </x:row>
    <x:row r="7">
      <x:c r="A7" s="22" t="str">
        <x:v>C1qb</x:v>
      </x:c>
      <x:c r="B7" s="23" t="str">
        <x:v>C1QB</x:v>
      </x:c>
      <x:c r="C7" s="23" t="str">
        <x:v>Efferocytosis / post-death clearance</x:v>
      </x:c>
      <x:c r="D7" s="23" t="str">
        <x:v>Apoptotic-cell clearance (efferocytosis)</x:v>
      </x:c>
      <x:c r="E7" s="23" t="str">
        <x:v>Post-death recognition/clearance</x:v>
      </x:c>
      <x:c r="F7" s="23" t="str">
        <x:v>Promotes clearance</x:v>
      </x:c>
      <x:c r="G7" s="23" t="str">
        <x:v>C1q B-chain is required for the C1q recognition complex that opsonizes apoptotic cells/debris.</x:v>
      </x:c>
      <x:c r="H7" s="23" t="str">
        <x:v>Does not execute cell death.</x:v>
      </x:c>
      <x:c r="I7" s="23" t="str">
        <x:v>High</x:v>
      </x:c>
      <x:c r="J7" s="23" t="str">
        <x:v>C1Q2014;NCCD2018</x:v>
      </x:c>
      <x:c r="K7" s="23" t="str">
        <x:v>https://pmc.ncbi.nlm.nih.gov/articles/PMC4040260/; https://pubmed.ncbi.nlm.nih.gov/29362479/</x:v>
      </x:c>
      <x:c r="L7" s="23" t="str">
        <x:v>https://www.informatics.jax.org/quicksearch/summary?queryType=exactPhrase&amp;query=C1qb</x:v>
      </x:c>
      <x:c r="M7" s="23" t="str">
        <x:v>https://www.uniprot.org/uniprotkb?query=%28gene_exact%3AC1qb%29+AND+%28organism_id%3A10090%29</x:v>
      </x:c>
      <x:c r="N7" s="23" t="str">
        <x:v>https://reactome.org/content/query?q=C1qb&amp;species=Mus%20musculus</x:v>
      </x:c>
    </x:row>
    <x:row r="8">
      <x:c r="A8" s="22" t="str">
        <x:v>C1qc</x:v>
      </x:c>
      <x:c r="B8" s="23" t="str">
        <x:v>C1QC</x:v>
      </x:c>
      <x:c r="C8" s="23" t="str">
        <x:v>Efferocytosis / post-death clearance</x:v>
      </x:c>
      <x:c r="D8" s="23" t="str">
        <x:v>Apoptotic-cell clearance (efferocytosis)</x:v>
      </x:c>
      <x:c r="E8" s="23" t="str">
        <x:v>Post-death recognition/clearance</x:v>
      </x:c>
      <x:c r="F8" s="23" t="str">
        <x:v>Promotes clearance</x:v>
      </x:c>
      <x:c r="G8" s="23" t="str">
        <x:v>C1q C-chain is required for the C1q recognition complex that opsonizes apoptotic cells/debris.</x:v>
      </x:c>
      <x:c r="H8" s="23" t="str">
        <x:v>Does not execute cell death.</x:v>
      </x:c>
      <x:c r="I8" s="23" t="str">
        <x:v>High</x:v>
      </x:c>
      <x:c r="J8" s="23" t="str">
        <x:v>C1Q2014;NCCD2018</x:v>
      </x:c>
      <x:c r="K8" s="23" t="str">
        <x:v>https://pmc.ncbi.nlm.nih.gov/articles/PMC4040260/; https://pubmed.ncbi.nlm.nih.gov/29362479/</x:v>
      </x:c>
      <x:c r="L8" s="23" t="str">
        <x:v>https://www.informatics.jax.org/quicksearch/summary?queryType=exactPhrase&amp;query=C1qc</x:v>
      </x:c>
      <x:c r="M8" s="23" t="str">
        <x:v>https://www.uniprot.org/uniprotkb?query=%28gene_exact%3AC1qc%29+AND+%28organism_id%3A10090%29</x:v>
      </x:c>
      <x:c r="N8" s="23" t="str">
        <x:v>https://reactome.org/content/query?q=C1qc&amp;species=Mus%20musculus</x:v>
      </x:c>
    </x:row>
    <x:row r="9">
      <x:c r="A9" s="22" t="str">
        <x:v>C3</x:v>
      </x:c>
      <x:c r="B9" s="23" t="str">
        <x:v>C3</x:v>
      </x:c>
      <x:c r="C9" s="23" t="str">
        <x:v>Complement-mediated lytic death</x:v>
      </x:c>
      <x:c r="D9" s="23" t="str">
        <x:v>Complement-dependent cytotoxicity</x:v>
      </x:c>
      <x:c r="E9" s="23" t="str">
        <x:v>Upstream lytic-cascade component</x:v>
      </x:c>
      <x:c r="F9" s="23" t="str">
        <x:v>Promotes lytic death</x:v>
      </x:c>
      <x:c r="G9" s="23" t="str">
        <x:v>C3 activation deposits C3b and supports C5 convertase formation, enabling terminal membrane-attack-complex-mediated lysis.</x:v>
      </x:c>
      <x:c r="H9" s="23" t="str">
        <x:v>C3 is upstream and is not itself the membrane pore; host-cell lysis depends on full complement activation.</x:v>
      </x:c>
      <x:c r="I9" s="23" t="str">
        <x:v>High</x:v>
      </x:c>
      <x:c r="J9" s="23" t="str">
        <x:v>REACTOME2024;NCCD2018</x:v>
      </x:c>
      <x:c r="K9" s="23" t="str">
        <x:v>https://pmc.ncbi.nlm.nih.gov/articles/PMC10767911/; https://pubmed.ncbi.nlm.nih.gov/29362479/</x:v>
      </x:c>
      <x:c r="L9" s="23" t="str">
        <x:v>https://www.informatics.jax.org/quicksearch/summary?queryType=exactPhrase&amp;query=C3</x:v>
      </x:c>
      <x:c r="M9" s="23" t="str">
        <x:v>https://www.uniprot.org/uniprotkb?query=%28gene_exact%3AC3%29+AND+%28organism_id%3A10090%29</x:v>
      </x:c>
      <x:c r="N9" s="23" t="str">
        <x:v>https://reactome.org/content/query?q=C3&amp;species=Mus%20musculus</x:v>
      </x:c>
    </x:row>
    <x:row r="10">
      <x:c r="A10" s="22" t="str">
        <x:v>C3</x:v>
      </x:c>
      <x:c r="B10" s="23" t="str">
        <x:v>C3</x:v>
      </x:c>
      <x:c r="C10" s="23" t="str">
        <x:v>Efferocytosis / post-death clearance</x:v>
      </x:c>
      <x:c r="D10" s="23" t="str">
        <x:v>Apoptotic-cell clearance (efferocytosis)</x:v>
      </x:c>
      <x:c r="E10" s="23" t="str">
        <x:v>Post-death opsonization</x:v>
      </x:c>
      <x:c r="F10" s="23" t="str">
        <x:v>Promotes clearance</x:v>
      </x:c>
      <x:c r="G10" s="23" t="str">
        <x:v>C3 fragments can opsonize dying cells and debris for complement-receptor-mediated uptake.</x:v>
      </x:c>
      <x:c r="H10" s="23" t="str">
        <x:v>Clearance relation rather than death execution.</x:v>
      </x:c>
      <x:c r="I10" s="23" t="str">
        <x:v>Moderate</x:v>
      </x:c>
      <x:c r="J10" s="23" t="str">
        <x:v>C1Q2014</x:v>
      </x:c>
      <x:c r="K10" s="23" t="str">
        <x:v>https://pmc.ncbi.nlm.nih.gov/articles/PMC4040260/</x:v>
      </x:c>
      <x:c r="L10" s="23" t="str">
        <x:v>https://www.informatics.jax.org/quicksearch/summary?queryType=exactPhrase&amp;query=C3</x:v>
      </x:c>
      <x:c r="M10" s="23" t="str">
        <x:v>https://www.uniprot.org/uniprotkb?query=%28gene_exact%3AC3%29+AND+%28organism_id%3A10090%29</x:v>
      </x:c>
      <x:c r="N10" s="23" t="str">
        <x:v>https://reactome.org/content/query?q=C3&amp;species=Mus%20musculus</x:v>
      </x:c>
    </x:row>
    <x:row r="11">
      <x:c r="A11" s="22" t="str">
        <x:v>Calr</x:v>
      </x:c>
      <x:c r="B11" s="23" t="str">
        <x:v>CALR</x:v>
      </x:c>
      <x:c r="C11" s="23" t="str">
        <x:v>Immunogenic cell death / efferocytosis</x:v>
      </x:c>
      <x:c r="D11" s="23" t="str">
        <x:v>Immunogenic cell death / efferocytosis</x:v>
      </x:c>
      <x:c r="E11" s="23" t="str">
        <x:v>Pre-death eat-me signal</x:v>
      </x:c>
      <x:c r="F11" s="23" t="str">
        <x:v>Promotes recognition/clearance</x:v>
      </x:c>
      <x:c r="G11" s="23" t="str">
        <x:v>Stress-induced cell-surface CALR exposure promotes dendritic-cell/macrophage uptake of dying cells and contributes to immunogenicity.</x:v>
      </x:c>
      <x:c r="H11" s="23" t="str">
        <x:v>Surface exposure is an accessory recognition signal, not sufficient evidence that CALR executes death.</x:v>
      </x:c>
      <x:c r="I11" s="23" t="str">
        <x:v>High</x:v>
      </x:c>
      <x:c r="J11" s="23" t="str">
        <x:v>CALR2007;NCCD2018</x:v>
      </x:c>
      <x:c r="K11" s="23" t="str">
        <x:v>https://pubmed.ncbi.nlm.nih.gov/17187072/; https://pubmed.ncbi.nlm.nih.gov/29362479/</x:v>
      </x:c>
      <x:c r="L11" s="23" t="str">
        <x:v>https://www.informatics.jax.org/quicksearch/summary?queryType=exactPhrase&amp;query=Calr</x:v>
      </x:c>
      <x:c r="M11" s="23" t="str">
        <x:v>https://www.uniprot.org/uniprotkb?query=%28gene_exact%3ACalr%29+AND+%28organism_id%3A10090%29</x:v>
      </x:c>
      <x:c r="N11" s="23" t="str">
        <x:v>https://reactome.org/content/query?q=Calr&amp;species=Mus%20musculus</x:v>
      </x:c>
    </x:row>
    <x:row r="12">
      <x:c r="A12" s="22" t="str">
        <x:v>Ctsd</x:v>
      </x:c>
      <x:c r="B12" s="23" t="str">
        <x:v>CTSD</x:v>
      </x:c>
      <x:c r="C12" s="23" t="str">
        <x:v>Lysosome-dependent cell death</x:v>
      </x:c>
      <x:c r="D12" s="23" t="str">
        <x:v>Lysosome-dependent cell death / apoptosis</x:v>
      </x:c>
      <x:c r="E12" s="23" t="str">
        <x:v>Contextual lysosomal effector</x:v>
      </x:c>
      <x:c r="F12" s="23" t="str">
        <x:v>Promotes death after lysosomal leakage</x:v>
      </x:c>
      <x:c r="G12" s="23" t="str">
        <x:v>After lysosomal membrane permeabilization, cytosolic cathepsin D can cleave death substrates and amplify mitochondrial/caspase-associated death.</x:v>
      </x:c>
      <x:c r="H12" s="23" t="str">
        <x:v>Evidence is stimulus/cell dependent; lysosomal CTSD normally supports homeostatic degradation.</x:v>
      </x:c>
      <x:c r="I12" s="23" t="str">
        <x:v>Moderate</x:v>
      </x:c>
      <x:c r="J12" s="23" t="str">
        <x:v>CTSD2001;NCCD2018</x:v>
      </x:c>
      <x:c r="K12" s="23" t="str">
        <x:v>https://pubmed.ncbi.nlm.nih.gov/11427495/; https://pubmed.ncbi.nlm.nih.gov/29362479/</x:v>
      </x:c>
      <x:c r="L12" s="23" t="str">
        <x:v>https://www.informatics.jax.org/quicksearch/summary?queryType=exactPhrase&amp;query=Ctsd</x:v>
      </x:c>
      <x:c r="M12" s="23" t="str">
        <x:v>https://www.uniprot.org/uniprotkb?query=%28gene_exact%3ACtsd%29+AND+%28organism_id%3A10090%29</x:v>
      </x:c>
      <x:c r="N12" s="23" t="str">
        <x:v>https://reactome.org/content/query?q=Ctsd&amp;species=Mus%20musculus</x:v>
      </x:c>
    </x:row>
    <x:row r="13">
      <x:c r="A13" s="22" t="str">
        <x:v>Cybb</x:v>
      </x:c>
      <x:c r="B13" s="23" t="str">
        <x:v>CYBB</x:v>
      </x:c>
      <x:c r="C13" s="23" t="str">
        <x:v>Ferroptosis / lipid-peroxidation death</x:v>
      </x:c>
      <x:c r="D13" s="23" t="str">
        <x:v>Oxidative cell injury; NET formation; ferroptosis/apoptosis modulation</x:v>
      </x:c>
      <x:c r="E13" s="23" t="str">
        <x:v>ROS-generating modifier</x:v>
      </x:c>
      <x:c r="F13" s="23" t="str">
        <x:v>Usually promotes oxidative death</x:v>
      </x:c>
      <x:c r="G13" s="23" t="str">
        <x:v>NOX2-derived superoxide/secondary ROS can damage host membranes and DNA and amplify multiple death programs.</x:v>
      </x:c>
      <x:c r="H13" s="23" t="str">
        <x:v>ROS participation is not modality-specific; CYBB is not a canonical apoptosis/ferroptosis executor and can also restrain inflammasomes in some settings.</x:v>
      </x:c>
      <x:c r="I13" s="23" t="str">
        <x:v>Moderate</x:v>
      </x:c>
      <x:c r="J13" s="23" t="str">
        <x:v>NOX2_2010;FERRO2017;NCCD2018</x:v>
      </x:c>
      <x:c r="K13" s="23" t="str">
        <x:v>https://pubmed.ncbi.nlm.nih.gov/20803017/; https://pmc.ncbi.nlm.nih.gov/articles/PMC5685180/; https://pubmed.ncbi.nlm.nih.gov/29362479/</x:v>
      </x:c>
      <x:c r="L13" s="23" t="str">
        <x:v>https://www.informatics.jax.org/quicksearch/summary?queryType=exactPhrase&amp;query=Cybb</x:v>
      </x:c>
      <x:c r="M13" s="23" t="str">
        <x:v>https://www.uniprot.org/uniprotkb?query=%28gene_exact%3ACybb%29+AND+%28organism_id%3A10090%29</x:v>
      </x:c>
      <x:c r="N13" s="23" t="str">
        <x:v>https://reactome.org/content/query?q=Cybb&amp;species=Mus%20musculus</x:v>
      </x:c>
    </x:row>
    <x:row r="14">
      <x:c r="A14" s="22" t="str">
        <x:v>Gbp2</x:v>
      </x:c>
      <x:c r="B14" s="23" t="str">
        <x:v>GBP2</x:v>
      </x:c>
      <x:c r="C14" s="23" t="str">
        <x:v>Pyroptosis / inflammasome-linked death</x:v>
      </x:c>
      <x:c r="D14" s="23" t="str">
        <x:v>Pyroptosis</x:v>
      </x:c>
      <x:c r="E14" s="23" t="str">
        <x:v>Upstream inflammasome-licensing factor</x:v>
      </x:c>
      <x:c r="F14" s="23" t="str">
        <x:v>Promotes death</x:v>
      </x:c>
      <x:c r="G14" s="23" t="str">
        <x:v>Mouse GBP chromosome-3 cluster, including GBP2, targets microbial membranes/vesicles and enables cytosolic LPS exposure and caspase-11-dependent pyroptosis.</x:v>
      </x:c>
      <x:c r="H14" s="23" t="str">
        <x:v>Pathogen- and GBP-family-dependent; GBP2 is not the gasdermin pore-forming executor.</x:v>
      </x:c>
      <x:c r="I14" s="23" t="str">
        <x:v>High</x:v>
      </x:c>
      <x:c r="J14" s="23" t="str">
        <x:v>GBP2014;GSDMD2015;NCCD2018</x:v>
      </x:c>
      <x:c r="K14" s="23" t="str">
        <x:v>https://pubmed.ncbi.nlm.nih.gov/24715728/; https://pubmed.ncbi.nlm.nih.gov/26611636/; https://pubmed.ncbi.nlm.nih.gov/29362479/</x:v>
      </x:c>
      <x:c r="L14" s="23" t="str">
        <x:v>https://www.informatics.jax.org/quicksearch/summary?queryType=exactPhrase&amp;query=Gbp2</x:v>
      </x:c>
      <x:c r="M14" s="23" t="str">
        <x:v>https://www.uniprot.org/uniprotkb?query=%28gene_exact%3AGbp2%29+AND+%28organism_id%3A10090%29</x:v>
      </x:c>
      <x:c r="N14" s="23" t="str">
        <x:v>https://reactome.org/content/query?q=Gbp2&amp;species=Mus%20musculus</x:v>
      </x:c>
    </x:row>
    <x:row r="15">
      <x:c r="A15" s="22" t="str">
        <x:v>Grn</x:v>
      </x:c>
      <x:c r="B15" s="23" t="str">
        <x:v>GRN</x:v>
      </x:c>
      <x:c r="C15" s="23" t="str">
        <x:v>Lysosome-dependent cell death</x:v>
      </x:c>
      <x:c r="D15" s="23" t="str">
        <x:v>Lysosome-dependent degeneration / apoptosis</x:v>
      </x:c>
      <x:c r="E15" s="23" t="str">
        <x:v>Survival and lysosome-homeostasis modifier</x:v>
      </x:c>
      <x:c r="F15" s="23" t="str">
        <x:v>Generally inhibits death</x:v>
      </x:c>
      <x:c r="G15" s="23" t="str">
        <x:v>Progranulin supports lysosome function and neuronal/myeloid survival; deficiency can drive lysosomal stress and degeneration.</x:v>
      </x:c>
      <x:c r="H15" s="23" t="str">
        <x:v>Not a core execution molecule; extracellular granulins can have different effects.</x:v>
      </x:c>
      <x:c r="I15" s="23" t="str">
        <x:v>Moderate</x:v>
      </x:c>
      <x:c r="J15" s="23" t="str">
        <x:v>UNIPROT2025;NCCD2018</x:v>
      </x:c>
      <x:c r="K15" s="23" t="str">
        <x:v>https://pubmed.ncbi.nlm.nih.gov/39552041/; https://pubmed.ncbi.nlm.nih.gov/29362479/</x:v>
      </x:c>
      <x:c r="L15" s="23" t="str">
        <x:v>https://www.informatics.jax.org/quicksearch/summary?queryType=exactPhrase&amp;query=Grn</x:v>
      </x:c>
      <x:c r="M15" s="23" t="str">
        <x:v>https://www.uniprot.org/uniprotkb?query=%28gene_exact%3AGrn%29+AND+%28organism_id%3A10090%29</x:v>
      </x:c>
      <x:c r="N15" s="23" t="str">
        <x:v>https://reactome.org/content/query?q=Grn&amp;species=Mus%20musculus</x:v>
      </x:c>
    </x:row>
    <x:row r="16">
      <x:c r="A16" s="22" t="str">
        <x:v>Ifi204</x:v>
      </x:c>
      <x:c r="B16" s="23" t="str">
        <x:v>IFI16/PYHIN1 (family analogs)</x:v>
      </x:c>
      <x:c r="C16" s="23" t="str">
        <x:v>Pyroptosis / inflammasome-linked death</x:v>
      </x:c>
      <x:c r="D16" s="23" t="str">
        <x:v>Pyroptosis / inflammasome-associated death</x:v>
      </x:c>
      <x:c r="E16" s="23" t="str">
        <x:v>Upstream DNA-sensing modifier</x:v>
      </x:c>
      <x:c r="F16" s="23" t="str">
        <x:v>Promotes death in defined infections/injury models</x:v>
      </x:c>
      <x:c r="G16" s="23" t="str">
        <x:v>Mouse IFI204 can sense cytosolic DNA and promote inflammasome-caspase-GSDMD signaling in selected models.</x:v>
      </x:c>
      <x:c r="H16" s="23" t="str">
        <x:v>Evidence is emerging and model-specific; PYHIN-family translation to human IFI16/PYHIN1 is not one-to-one.</x:v>
      </x:c>
      <x:c r="I16" s="23" t="str">
        <x:v>Low</x:v>
      </x:c>
      <x:c r="J16" s="23" t="str">
        <x:v>GSDMD2015;NCCD2018</x:v>
      </x:c>
      <x:c r="K16" s="23" t="str">
        <x:v>https://pubmed.ncbi.nlm.nih.gov/26611636/; https://pubmed.ncbi.nlm.nih.gov/29362479/</x:v>
      </x:c>
      <x:c r="L16" s="23" t="str">
        <x:v>https://www.informatics.jax.org/quicksearch/summary?queryType=exactPhrase&amp;query=Ifi204</x:v>
      </x:c>
      <x:c r="M16" s="23" t="str">
        <x:v>https://www.uniprot.org/uniprotkb?query=%28gene_exact%3AIfi204%29+AND+%28organism_id%3A10090%29</x:v>
      </x:c>
      <x:c r="N16" s="23" t="str">
        <x:v>https://reactome.org/content/query?q=Ifi204&amp;species=Mus%20musculus</x:v>
      </x:c>
    </x:row>
    <x:row r="17">
      <x:c r="A17" s="22" t="str">
        <x:v>Ifi27l2a</x:v>
      </x:c>
      <x:c r="B17" s="23" t="str">
        <x:v>IFI27L2</x:v>
      </x:c>
      <x:c r="C17" s="23" t="str">
        <x:v>Apoptosis</x:v>
      </x:c>
      <x:c r="D17" s="23" t="str">
        <x:v>Apoptosis / interferon-associated death</x:v>
      </x:c>
      <x:c r="E17" s="23" t="str">
        <x:v>Contextual mitochondrial/stress modifier</x:v>
      </x:c>
      <x:c r="F17" s="23" t="str">
        <x:v>Often promotes death</x:v>
      </x:c>
      <x:c r="G17" s="23" t="str">
        <x:v>Interferon-induced IFI27-family proteins have been linked to mitochondrial dysfunction and apoptosis in selected cells.</x:v>
      </x:c>
      <x:c r="H17" s="23" t="str">
        <x:v>Direct mechanism for mouse Ifi27l2a is less established than family-level association.</x:v>
      </x:c>
      <x:c r="I17" s="23" t="str">
        <x:v>Low</x:v>
      </x:c>
      <x:c r="J17" s="23" t="str">
        <x:v>NCCD2018</x:v>
      </x:c>
      <x:c r="K17" s="23" t="str">
        <x:v>https://pubmed.ncbi.nlm.nih.gov/29362479/</x:v>
      </x:c>
      <x:c r="L17" s="23" t="str">
        <x:v>https://www.informatics.jax.org/quicksearch/summary?queryType=exactPhrase&amp;query=Ifi27l2a</x:v>
      </x:c>
      <x:c r="M17" s="23" t="str">
        <x:v>https://www.uniprot.org/uniprotkb?query=%28gene_exact%3AIfi27l2a%29+AND+%28organism_id%3A10090%29</x:v>
      </x:c>
      <x:c r="N17" s="23" t="str">
        <x:v>https://reactome.org/content/query?q=Ifi27l2a&amp;species=Mus%20musculus</x:v>
      </x:c>
    </x:row>
    <x:row r="18">
      <x:c r="A18" s="22" t="str">
        <x:v>Il1b</x:v>
      </x:c>
      <x:c r="B18" s="23" t="str">
        <x:v>IL1B</x:v>
      </x:c>
      <x:c r="C18" s="23" t="str">
        <x:v>Pyroptosis / inflammasome-linked death</x:v>
      </x:c>
      <x:c r="D18" s="23" t="str">
        <x:v>Pyroptosis</x:v>
      </x:c>
      <x:c r="E18" s="23" t="str">
        <x:v>Inflammatory cargo/readout</x:v>
      </x:c>
      <x:c r="F18" s="23" t="str">
        <x:v>Released during death; not executor</x:v>
      </x:c>
      <x:c r="G18" s="23" t="str">
        <x:v>Pro-IL-1beta is processed by caspase-1 and mature IL-1beta exits through gasdermin pores during many pyroptotic responses.</x:v>
      </x:c>
      <x:c r="H18" s="23" t="str">
        <x:v>IL-1beta release can be uncoupled from cell lysis; expression alone does not prove pyroptosis.</x:v>
      </x:c>
      <x:c r="I18" s="23" t="str">
        <x:v>High</x:v>
      </x:c>
      <x:c r="J18" s="23" t="str">
        <x:v>GSDMD2015;NCCD2018</x:v>
      </x:c>
      <x:c r="K18" s="23" t="str">
        <x:v>https://pubmed.ncbi.nlm.nih.gov/26611636/; https://pubmed.ncbi.nlm.nih.gov/29362479/</x:v>
      </x:c>
      <x:c r="L18" s="23" t="str">
        <x:v>https://www.informatics.jax.org/quicksearch/summary?queryType=exactPhrase&amp;query=Il1b</x:v>
      </x:c>
      <x:c r="M18" s="23" t="str">
        <x:v>https://www.uniprot.org/uniprotkb?query=%28gene_exact%3AIl1b%29+AND+%28organism_id%3A10090%29</x:v>
      </x:c>
      <x:c r="N18" s="23" t="str">
        <x:v>https://reactome.org/content/query?q=Il1b&amp;species=Mus%20musculus</x:v>
      </x:c>
    </x:row>
    <x:row r="19">
      <x:c r="A19" s="22" t="str">
        <x:v>Junb</x:v>
      </x:c>
      <x:c r="B19" s="23" t="str">
        <x:v>JUNB</x:v>
      </x:c>
      <x:c r="C19" s="23" t="str">
        <x:v>Apoptosis</x:v>
      </x:c>
      <x:c r="D19" s="23" t="str">
        <x:v>Apoptosis</x:v>
      </x:c>
      <x:c r="E19" s="23" t="str">
        <x:v>Transcriptional modifier</x:v>
      </x:c>
      <x:c r="F19" s="23" t="str">
        <x:v>Bidirectional/context-dependent</x:v>
      </x:c>
      <x:c r="G19" s="23" t="str">
        <x:v>JUNB-containing AP-1 complexes regulate pro- and anti-apoptotic genes downstream of stress and growth signals.</x:v>
      </x:c>
      <x:c r="H19" s="23" t="str">
        <x:v>Not a core death component; direction depends on cell and stimulus.</x:v>
      </x:c>
      <x:c r="I19" s="23" t="str">
        <x:v>Moderate</x:v>
      </x:c>
      <x:c r="J19" s="23" t="str">
        <x:v>NCCD2018</x:v>
      </x:c>
      <x:c r="K19" s="23" t="str">
        <x:v>https://pubmed.ncbi.nlm.nih.gov/29362479/</x:v>
      </x:c>
      <x:c r="L19" s="23" t="str">
        <x:v>https://www.informatics.jax.org/quicksearch/summary?queryType=exactPhrase&amp;query=Junb</x:v>
      </x:c>
      <x:c r="M19" s="23" t="str">
        <x:v>https://www.uniprot.org/uniprotkb?query=%28gene_exact%3AJunb%29+AND+%28organism_id%3A10090%29</x:v>
      </x:c>
      <x:c r="N19" s="23" t="str">
        <x:v>https://reactome.org/content/query?q=Junb&amp;species=Mus%20musculus</x:v>
      </x:c>
    </x:row>
    <x:row r="20">
      <x:c r="A20" s="22" t="str">
        <x:v>Kcnk6</x:v>
      </x:c>
      <x:c r="B20" s="23" t="str">
        <x:v>KCNK6</x:v>
      </x:c>
      <x:c r="C20" s="23" t="str">
        <x:v>Pyroptosis / inflammasome-linked death</x:v>
      </x:c>
      <x:c r="D20" s="23" t="str">
        <x:v>Pyroptosis / NLRP3 inflammasome</x:v>
      </x:c>
      <x:c r="E20" s="23" t="str">
        <x:v>Upstream ionic trigger</x:v>
      </x:c>
      <x:c r="F20" s="23" t="str">
        <x:v>Promotes inflammasome activation</x:v>
      </x:c>
      <x:c r="G20" s="23" t="str">
        <x:v>TWIK2-mediated K+ efflux in macrophages supports ATP-triggered NLRP3 inflammasome activation, which can lead to gasdermin-dependent pyroptosis.</x:v>
      </x:c>
      <x:c r="H20" s="23" t="str">
        <x:v>Inflammasome activation and IL-1beta secretion do not always culminate in cell lysis; tissue specificity matters.</x:v>
      </x:c>
      <x:c r="I20" s="23" t="str">
        <x:v>High</x:v>
      </x:c>
      <x:c r="J20" s="23" t="str">
        <x:v>TWIK2_2018;GSDMD2015;NCCD2018</x:v>
      </x:c>
      <x:c r="K20" s="23" t="str">
        <x:v>https://pubmed.ncbi.nlm.nih.gov/29958799/; https://pubmed.ncbi.nlm.nih.gov/26611636/; https://pubmed.ncbi.nlm.nih.gov/29362479/</x:v>
      </x:c>
      <x:c r="L20" s="23" t="str">
        <x:v>https://www.informatics.jax.org/quicksearch/summary?queryType=exactPhrase&amp;query=Kcnk6</x:v>
      </x:c>
      <x:c r="M20" s="23" t="str">
        <x:v>https://www.uniprot.org/uniprotkb?query=%28gene_exact%3AKcnk6%29+AND+%28organism_id%3A10090%29</x:v>
      </x:c>
      <x:c r="N20" s="23" t="str">
        <x:v>https://reactome.org/content/query?q=Kcnk6&amp;species=Mus%20musculus</x:v>
      </x:c>
    </x:row>
    <x:row r="21">
      <x:c r="A21" s="22" t="str">
        <x:v>Lcn2</x:v>
      </x:c>
      <x:c r="B21" s="23" t="str">
        <x:v>LCN2</x:v>
      </x:c>
      <x:c r="C21" s="23" t="str">
        <x:v>Ferroptosis / lipid-peroxidation death</x:v>
      </x:c>
      <x:c r="D21" s="23" t="str">
        <x:v>Ferroptosis</x:v>
      </x:c>
      <x:c r="E21" s="23" t="str">
        <x:v>Iron-homeostasis modifier</x:v>
      </x:c>
      <x:c r="F21" s="23" t="str">
        <x:v>Bidirectional/context-dependent</x:v>
      </x:c>
      <x:c r="G21" s="23" t="str">
        <x:v>LCN2 can alter labile iron pools through siderophore/receptor complexes; neutrophil-derived LCN2 promoted iron accumulation and ferroptosis in septic cardiac models.</x:v>
      </x:c>
      <x:c r="H21" s="23" t="str">
        <x:v>Not a universal ferroptosis gene; iron-loaded versus iron-free LCN2 and receptor context can reverse outcomes.</x:v>
      </x:c>
      <x:c r="I21" s="23" t="str">
        <x:v>Moderate</x:v>
      </x:c>
      <x:c r="J21" s="23" t="str">
        <x:v>LCN2_FERRO2022;LCN2_2017;FERRO2017</x:v>
      </x:c>
      <x:c r="K21" s="23" t="str">
        <x:v>https://www.frontiersin.org/articles/10.3389/fcvm.2022.922534/full; https://pubmed.ncbi.nlm.nih.gov/28628361/; https://pmc.ncbi.nlm.nih.gov/articles/PMC5685180/</x:v>
      </x:c>
      <x:c r="L21" s="23" t="str">
        <x:v>https://www.informatics.jax.org/quicksearch/summary?queryType=exactPhrase&amp;query=Lcn2</x:v>
      </x:c>
      <x:c r="M21" s="23" t="str">
        <x:v>https://www.uniprot.org/uniprotkb?query=%28gene_exact%3ALcn2%29+AND+%28organism_id%3A10090%29</x:v>
      </x:c>
      <x:c r="N21" s="23" t="str">
        <x:v>https://reactome.org/content/query?q=Lcn2&amp;species=Mus%20musculus</x:v>
      </x:c>
    </x:row>
    <x:row r="22">
      <x:c r="A22" s="22" t="str">
        <x:v>Lgals9</x:v>
      </x:c>
      <x:c r="B22" s="23" t="str">
        <x:v>LGALS9</x:v>
      </x:c>
      <x:c r="C22" s="23" t="str">
        <x:v>Apoptosis</x:v>
      </x:c>
      <x:c r="D22" s="23" t="str">
        <x:v>Apoptosis / activation-induced immune-cell death</x:v>
      </x:c>
      <x:c r="E22" s="23" t="str">
        <x:v>Extracellular ligand</x:v>
      </x:c>
      <x:c r="F22" s="23" t="str">
        <x:v>Promotes death in susceptible cells</x:v>
      </x:c>
      <x:c r="G22" s="23" t="str">
        <x:v>Galectin-9 ligation of TIM-3 can induce calcium flux and death of activated Th1 cells; other receptors and intracellular LGALS9 actions also occur.</x:v>
      </x:c>
      <x:c r="H22" s="23" t="str">
        <x:v>Strongly receptor-, glycosylation- and cell-state-dependent; not a universal apoptosis ligand.</x:v>
      </x:c>
      <x:c r="I22" s="23" t="str">
        <x:v>High</x:v>
      </x:c>
      <x:c r="J22" s="23" t="str">
        <x:v>LGALS9_2005;NCCD2018</x:v>
      </x:c>
      <x:c r="K22" s="23" t="str">
        <x:v>https://pubmed.ncbi.nlm.nih.gov/16286920/; https://pubmed.ncbi.nlm.nih.gov/29362479/</x:v>
      </x:c>
      <x:c r="L22" s="23" t="str">
        <x:v>https://www.informatics.jax.org/quicksearch/summary?queryType=exactPhrase&amp;query=Lgals9</x:v>
      </x:c>
      <x:c r="M22" s="23" t="str">
        <x:v>https://www.uniprot.org/uniprotkb?query=%28gene_exact%3ALgals9%29+AND+%28organism_id%3A10090%29</x:v>
      </x:c>
      <x:c r="N22" s="23" t="str">
        <x:v>https://reactome.org/content/query?q=Lgals9&amp;species=Mus%20musculus</x:v>
      </x:c>
    </x:row>
    <x:row r="23">
      <x:c r="A23" s="22" t="str">
        <x:v>Lgmn</x:v>
      </x:c>
      <x:c r="B23" s="23" t="str">
        <x:v>LGMN</x:v>
      </x:c>
      <x:c r="C23" s="23" t="str">
        <x:v>Lysosome-dependent cell death</x:v>
      </x:c>
      <x:c r="D23" s="23" t="str">
        <x:v>Lysosome-dependent cell death / apoptosis</x:v>
      </x:c>
      <x:c r="E23" s="23" t="str">
        <x:v>Contextual protease modifier</x:v>
      </x:c>
      <x:c r="F23" s="23" t="str">
        <x:v>Can promote death</x:v>
      </x:c>
      <x:c r="G23" s="23" t="str">
        <x:v>Lysosomal leakage or altered legumain activity can contribute to proteolytic death signaling in selected cancer/injury models.</x:v>
      </x:c>
      <x:c r="H23" s="23" t="str">
        <x:v>Homeostatic role is lysosomal protein processing; evidence is not sufficient to call LGMN a core death executor.</x:v>
      </x:c>
      <x:c r="I23" s="23" t="str">
        <x:v>Low</x:v>
      </x:c>
      <x:c r="J23" s="23" t="str">
        <x:v>NCCD2018</x:v>
      </x:c>
      <x:c r="K23" s="23" t="str">
        <x:v>https://pubmed.ncbi.nlm.nih.gov/29362479/</x:v>
      </x:c>
      <x:c r="L23" s="23" t="str">
        <x:v>https://www.informatics.jax.org/quicksearch/summary?queryType=exactPhrase&amp;query=Lgmn</x:v>
      </x:c>
      <x:c r="M23" s="23" t="str">
        <x:v>https://www.uniprot.org/uniprotkb?query=%28gene_exact%3ALgmn%29+AND+%28organism_id%3A10090%29</x:v>
      </x:c>
      <x:c r="N23" s="23" t="str">
        <x:v>https://reactome.org/content/query?q=Lgmn&amp;species=Mus%20musculus</x:v>
      </x:c>
    </x:row>
    <x:row r="24">
      <x:c r="A24" s="22" t="str">
        <x:v>Naip6</x:v>
      </x:c>
      <x:c r="B24" s="23" t="str">
        <x:v>NAIP</x:v>
      </x:c>
      <x:c r="C24" s="23" t="str">
        <x:v>Pyroptosis / inflammasome-linked death</x:v>
      </x:c>
      <x:c r="D24" s="23" t="str">
        <x:v>Pyroptosis</x:v>
      </x:c>
      <x:c r="E24" s="23" t="str">
        <x:v>Core upstream sensor</x:v>
      </x:c>
      <x:c r="F24" s="23" t="str">
        <x:v>Promotes death</x:v>
      </x:c>
      <x:c r="G24" s="23" t="str">
        <x:v>Mouse NAIP6 binds cytosolic bacterial flagellin and nucleates NLRC4 inflammasome activation, leading to caspase-1/GSDMD pyroptosis and IL-1-family cytokine release.</x:v>
      </x:c>
      <x:c r="H24" s="23" t="str">
        <x:v>Mouse has several ligand-specialized NAIPs; human has a single NAIP with different ligand selectivity.</x:v>
      </x:c>
      <x:c r="I24" s="23" t="str">
        <x:v>High</x:v>
      </x:c>
      <x:c r="J24" s="23" t="str">
        <x:v>NAIP2023;GSDMD2015;NCCD2018</x:v>
      </x:c>
      <x:c r="K24" s="23" t="str">
        <x:v>https://pubmed.ncbi.nlm.nih.gov/37058933/; https://pubmed.ncbi.nlm.nih.gov/26611636/; https://pubmed.ncbi.nlm.nih.gov/29362479/</x:v>
      </x:c>
      <x:c r="L24" s="23" t="str">
        <x:v>https://www.informatics.jax.org/quicksearch/summary?queryType=exactPhrase&amp;query=Naip6</x:v>
      </x:c>
      <x:c r="M24" s="23" t="str">
        <x:v>https://www.uniprot.org/uniprotkb?query=%28gene_exact%3ANaip6%29+AND+%28organism_id%3A10090%29</x:v>
      </x:c>
      <x:c r="N24" s="23" t="str">
        <x:v>https://reactome.org/content/query?q=Naip6&amp;species=Mus%20musculus</x:v>
      </x:c>
    </x:row>
    <x:row r="25">
      <x:c r="A25" s="22" t="str">
        <x:v>Ncf1</x:v>
      </x:c>
      <x:c r="B25" s="23" t="str">
        <x:v>NCF1</x:v>
      </x:c>
      <x:c r="C25" s="23" t="str">
        <x:v>NET-associated / oxidative cell death</x:v>
      </x:c>
      <x:c r="D25" s="23" t="str">
        <x:v>Oxidative cell injury / NET formation</x:v>
      </x:c>
      <x:c r="E25" s="23" t="str">
        <x:v>ROS-generating complex component</x:v>
      </x:c>
      <x:c r="F25" s="23" t="str">
        <x:v>Context-dependent</x:v>
      </x:c>
      <x:c r="G25" s="23" t="str">
        <x:v>p47phox-dependent NOX2 ROS can support oxidant-mediated death and some forms of NET formation.</x:v>
      </x:c>
      <x:c r="H25" s="23" t="str">
        <x:v>NOX2-independent NET formation exists; ROS can also suppress inflammasome activity, so modality/direction are not universal.</x:v>
      </x:c>
      <x:c r="I25" s="23" t="str">
        <x:v>Moderate</x:v>
      </x:c>
      <x:c r="J25" s="23" t="str">
        <x:v>NOX2_2010;NCCD2018</x:v>
      </x:c>
      <x:c r="K25" s="23" t="str">
        <x:v>https://pubmed.ncbi.nlm.nih.gov/20803017/; https://pubmed.ncbi.nlm.nih.gov/29362479/</x:v>
      </x:c>
      <x:c r="L25" s="23" t="str">
        <x:v>https://www.informatics.jax.org/quicksearch/summary?queryType=exactPhrase&amp;query=Ncf1</x:v>
      </x:c>
      <x:c r="M25" s="23" t="str">
        <x:v>https://www.uniprot.org/uniprotkb?query=%28gene_exact%3ANcf1%29+AND+%28organism_id%3A10090%29</x:v>
      </x:c>
      <x:c r="N25" s="23" t="str">
        <x:v>https://reactome.org/content/query?q=Ncf1&amp;species=Mus%20musculus</x:v>
      </x:c>
    </x:row>
    <x:row r="26">
      <x:c r="A26" s="22" t="str">
        <x:v>Ncf2</x:v>
      </x:c>
      <x:c r="B26" s="23" t="str">
        <x:v>NCF2</x:v>
      </x:c>
      <x:c r="C26" s="23" t="str">
        <x:v>NET-associated / oxidative cell death</x:v>
      </x:c>
      <x:c r="D26" s="23" t="str">
        <x:v>Oxidative cell injury / NET formation</x:v>
      </x:c>
      <x:c r="E26" s="23" t="str">
        <x:v>ROS-generating complex component</x:v>
      </x:c>
      <x:c r="F26" s="23" t="str">
        <x:v>Context-dependent</x:v>
      </x:c>
      <x:c r="G26" s="23" t="str">
        <x:v>p67phox-dependent activation of NOX2 produces ROS that can contribute to oxidant-mediated death and NET formation.</x:v>
      </x:c>
      <x:c r="H26" s="23" t="str">
        <x:v>Not a death executor; effects vary with cell, compartment and trigger.</x:v>
      </x:c>
      <x:c r="I26" s="23" t="str">
        <x:v>Moderate</x:v>
      </x:c>
      <x:c r="J26" s="23" t="str">
        <x:v>NOX2_2010;NCCD2018</x:v>
      </x:c>
      <x:c r="K26" s="23" t="str">
        <x:v>https://pubmed.ncbi.nlm.nih.gov/20803017/; https://pubmed.ncbi.nlm.nih.gov/29362479/</x:v>
      </x:c>
      <x:c r="L26" s="23" t="str">
        <x:v>https://www.informatics.jax.org/quicksearch/summary?queryType=exactPhrase&amp;query=Ncf2</x:v>
      </x:c>
      <x:c r="M26" s="23" t="str">
        <x:v>https://www.uniprot.org/uniprotkb?query=%28gene_exact%3ANcf2%29+AND+%28organism_id%3A10090%29</x:v>
      </x:c>
      <x:c r="N26" s="23" t="str">
        <x:v>https://reactome.org/content/query?q=Ncf2&amp;species=Mus%20musculus</x:v>
      </x:c>
    </x:row>
    <x:row r="27">
      <x:c r="A27" s="22" t="str">
        <x:v>Nfkbia</x:v>
      </x:c>
      <x:c r="B27" s="23" t="str">
        <x:v>NFKBIA</x:v>
      </x:c>
      <x:c r="C27" s="23" t="str">
        <x:v>Necroptosis</x:v>
      </x:c>
      <x:c r="D27" s="23" t="str">
        <x:v>TNF-induced apoptosis/necroptosis</x:v>
      </x:c>
      <x:c r="E27" s="23" t="str">
        <x:v>Survival-pathway gatekeeper</x:v>
      </x:c>
      <x:c r="F27" s="23" t="str">
        <x:v>Can sensitize to death</x:v>
      </x:c>
      <x:c r="G27" s="23" t="str">
        <x:v>I-kappaB-alpha restrains NF-kappaB; persistent NF-kappaB inhibition reduces induction of pro-survival genes and can shift TNFR1 signaling toward apoptosis or necroptosis.</x:v>
      </x:c>
      <x:c r="H27" s="23" t="str">
        <x:v>NFKBIA is not a death effector; transient degradation is part of normal NF-kappaB activation.</x:v>
      </x:c>
      <x:c r="I27" s="23" t="str">
        <x:v>Moderate</x:v>
      </x:c>
      <x:c r="J27" s="23" t="str">
        <x:v>TNF2022;NCCD2018</x:v>
      </x:c>
      <x:c r="K27" s="23" t="str">
        <x:v>https://pmc.ncbi.nlm.nih.gov/articles/PMC9665039/; https://pubmed.ncbi.nlm.nih.gov/29362479/</x:v>
      </x:c>
      <x:c r="L27" s="23" t="str">
        <x:v>https://www.informatics.jax.org/quicksearch/summary?queryType=exactPhrase&amp;query=Nfkbia</x:v>
      </x:c>
      <x:c r="M27" s="23" t="str">
        <x:v>https://www.uniprot.org/uniprotkb?query=%28gene_exact%3ANfkbia%29+AND+%28organism_id%3A10090%29</x:v>
      </x:c>
      <x:c r="N27" s="23" t="str">
        <x:v>https://reactome.org/content/query?q=Nfkbia&amp;species=Mus%20musculus</x:v>
      </x:c>
    </x:row>
    <x:row r="28">
      <x:c r="A28" s="22" t="str">
        <x:v>Nmnat2</x:v>
      </x:c>
      <x:c r="B28" s="23" t="str">
        <x:v>NMNAT2</x:v>
      </x:c>
      <x:c r="C28" s="23" t="str">
        <x:v>Programmed axon degeneration</x:v>
      </x:c>
      <x:c r="D28" s="23" t="str">
        <x:v>Programmed axon degeneration</x:v>
      </x:c>
      <x:c r="E28" s="23" t="str">
        <x:v>Core survival suppressor of degeneration</x:v>
      </x:c>
      <x:c r="F28" s="23" t="str">
        <x:v>Inhibits degeneration</x:v>
      </x:c>
      <x:c r="G28" s="23" t="str">
        <x:v>Axonal NMNAT2 maintains NAD and prevents SARM1 activation; its loss after injury is a key trigger for Wallerian-like axon destruction.</x:v>
      </x:c>
      <x:c r="H28" s="23" t="str">
        <x:v>Axon degeneration is compartmentalized and should not automatically be equated with death of the neuronal soma.</x:v>
      </x:c>
      <x:c r="I28" s="23" t="str">
        <x:v>High</x:v>
      </x:c>
      <x:c r="J28" s="23" t="str">
        <x:v>NMNAT2_2010;NCCD2018</x:v>
      </x:c>
      <x:c r="K28" s="23" t="str">
        <x:v>https://pubmed.ncbi.nlm.nih.gov/20126265/; https://pubmed.ncbi.nlm.nih.gov/29362479/</x:v>
      </x:c>
      <x:c r="L28" s="23" t="str">
        <x:v>https://www.informatics.jax.org/quicksearch/summary?queryType=exactPhrase&amp;query=Nmnat2</x:v>
      </x:c>
      <x:c r="M28" s="23" t="str">
        <x:v>https://www.uniprot.org/uniprotkb?query=%28gene_exact%3ANmnat2%29+AND+%28organism_id%3A10090%29</x:v>
      </x:c>
      <x:c r="N28" s="23" t="str">
        <x:v>https://reactome.org/content/query?q=Nmnat2&amp;species=Mus%20musculus</x:v>
      </x:c>
    </x:row>
    <x:row r="29">
      <x:c r="A29" s="22" t="str">
        <x:v>Oas1a</x:v>
      </x:c>
      <x:c r="B29" s="23" t="str">
        <x:v>OAS1</x:v>
      </x:c>
      <x:c r="C29" s="23" t="str">
        <x:v>Antiviral RNase-L-associated death</x:v>
      </x:c>
      <x:c r="D29" s="23" t="str">
        <x:v>RNase-L-mediated apoptosis / antiviral death</x:v>
      </x:c>
      <x:c r="E29" s="23" t="str">
        <x:v>Upstream second-messenger enzyme</x:v>
      </x:c>
      <x:c r="F29" s="23" t="str">
        <x:v>Promotes death after dsRNA sensing</x:v>
      </x:c>
      <x:c r="G29" s="23" t="str">
        <x:v>OAS1-family enzymes generate 2-5A, activating RNase L to degrade cellular/viral RNA and drive apoptosis in defined antiviral or synthetic-RNA contexts.</x:v>
      </x:c>
      <x:c r="H29" s="23" t="str">
        <x:v>OAS1 can also have protective/context-dependent functions; expression alone is not proof of death activation.</x:v>
      </x:c>
      <x:c r="I29" s="23" t="str">
        <x:v>Moderate</x:v>
      </x:c>
      <x:c r="J29" s="23" t="str">
        <x:v>OAS1_2021;NCCD2018</x:v>
      </x:c>
      <x:c r="K29" s="23" t="str">
        <x:v>https://pubmed.ncbi.nlm.nih.gov/34272227/; https://pubmed.ncbi.nlm.nih.gov/29362479/</x:v>
      </x:c>
      <x:c r="L29" s="23" t="str">
        <x:v>https://www.informatics.jax.org/quicksearch/summary?queryType=exactPhrase&amp;query=Oas1a</x:v>
      </x:c>
      <x:c r="M29" s="23" t="str">
        <x:v>https://www.uniprot.org/uniprotkb?query=%28gene_exact%3AOas1a%29+AND+%28organism_id%3A10090%29</x:v>
      </x:c>
      <x:c r="N29" s="23" t="str">
        <x:v>https://reactome.org/content/query?q=Oas1a&amp;species=Mus%20musculus</x:v>
      </x:c>
    </x:row>
    <x:row r="30">
      <x:c r="A30" s="22" t="str">
        <x:v>Os9</x:v>
      </x:c>
      <x:c r="B30" s="23" t="str">
        <x:v>OS9</x:v>
      </x:c>
      <x:c r="C30" s="23" t="str">
        <x:v>Apoptosis</x:v>
      </x:c>
      <x:c r="D30" s="23" t="str">
        <x:v>ER-stress-induced apoptosis</x:v>
      </x:c>
      <x:c r="E30" s="23" t="str">
        <x:v>Proteostasis/survival modifier</x:v>
      </x:c>
      <x:c r="F30" s="23" t="str">
        <x:v>Generally inhibits stress death</x:v>
      </x:c>
      <x:c r="G30" s="23" t="str">
        <x:v>OS9-mediated ERAD clears misfolded glycoproteins and can reduce chronic UPR stress that otherwise promotes apoptosis.</x:v>
      </x:c>
      <x:c r="H30" s="23" t="str">
        <x:v>Indirect homeostatic modifier, not core apoptotic machinery.</x:v>
      </x:c>
      <x:c r="I30" s="23" t="str">
        <x:v>Moderate</x:v>
      </x:c>
      <x:c r="J30" s="23" t="str">
        <x:v>NCCD2018;REACTOME2024</x:v>
      </x:c>
      <x:c r="K30" s="23" t="str">
        <x:v>https://pubmed.ncbi.nlm.nih.gov/29362479/; https://pmc.ncbi.nlm.nih.gov/articles/PMC10767911/</x:v>
      </x:c>
      <x:c r="L30" s="23" t="str">
        <x:v>https://www.informatics.jax.org/quicksearch/summary?queryType=exactPhrase&amp;query=Os9</x:v>
      </x:c>
      <x:c r="M30" s="23" t="str">
        <x:v>https://www.uniprot.org/uniprotkb?query=%28gene_exact%3AOs9%29+AND+%28organism_id%3A10090%29</x:v>
      </x:c>
      <x:c r="N30" s="23" t="str">
        <x:v>https://reactome.org/content/query?q=Os9&amp;species=Mus%20musculus</x:v>
      </x:c>
    </x:row>
    <x:row r="31">
      <x:c r="A31" s="22" t="str">
        <x:v>Pdia6</x:v>
      </x:c>
      <x:c r="B31" s="23" t="str">
        <x:v>PDIA6</x:v>
      </x:c>
      <x:c r="C31" s="23" t="str">
        <x:v>Apoptosis</x:v>
      </x:c>
      <x:c r="D31" s="23" t="str">
        <x:v>ER-stress-induced apoptosis</x:v>
      </x:c>
      <x:c r="E31" s="23" t="str">
        <x:v>Proteostasis/survival modifier</x:v>
      </x:c>
      <x:c r="F31" s="23" t="str">
        <x:v>Usually inhibits death</x:v>
      </x:c>
      <x:c r="G31" s="23" t="str">
        <x:v>PDIA6 supports oxidative folding and restrains/reshapes UPR signaling; depletion can sensitize cells to ischemic, ER-stress or chemotherapy-associated death.</x:v>
      </x:c>
      <x:c r="H31" s="23" t="str">
        <x:v>Direction varies with tumor/stress model; not a death executor.</x:v>
      </x:c>
      <x:c r="I31" s="23" t="str">
        <x:v>High</x:v>
      </x:c>
      <x:c r="J31" s="23" t="str">
        <x:v>PDIA6_2012;UNIPROT2025;NCCD2018</x:v>
      </x:c>
      <x:c r="K31" s="23" t="str">
        <x:v>https://pubmed.ncbi.nlm.nih.gov/22609432/; https://pubmed.ncbi.nlm.nih.gov/39552041/; https://pubmed.ncbi.nlm.nih.gov/29362479/</x:v>
      </x:c>
      <x:c r="L31" s="23" t="str">
        <x:v>https://www.informatics.jax.org/quicksearch/summary?queryType=exactPhrase&amp;query=Pdia6</x:v>
      </x:c>
      <x:c r="M31" s="23" t="str">
        <x:v>https://www.uniprot.org/uniprotkb?query=%28gene_exact%3APdia6%29+AND+%28organism_id%3A10090%29</x:v>
      </x:c>
      <x:c r="N31" s="23" t="str">
        <x:v>https://reactome.org/content/query?q=Pdia6&amp;species=Mus%20musculus</x:v>
      </x:c>
    </x:row>
    <x:row r="32">
      <x:c r="A32" s="22" t="str">
        <x:v>Pgd</x:v>
      </x:c>
      <x:c r="B32" s="23" t="str">
        <x:v>PGD</x:v>
      </x:c>
      <x:c r="C32" s="23" t="str">
        <x:v>Ferroptosis / lipid-peroxidation death</x:v>
      </x:c>
      <x:c r="D32" s="23" t="str">
        <x:v>Ferroptosis / oxidative death</x:v>
      </x:c>
      <x:c r="E32" s="23" t="str">
        <x:v>Metabolic-redox modifier</x:v>
      </x:c>
      <x:c r="F32" s="23" t="str">
        <x:v>Generally inhibits death</x:v>
      </x:c>
      <x:c r="G32" s="23" t="str">
        <x:v>PGD supplies NADPH through the oxidative pentose-phosphate pathway, supporting glutathione/thioredoxin reduction and resistance to lipid-peroxide/ROS-driven death.</x:v>
      </x:c>
      <x:c r="H32" s="23" t="str">
        <x:v>Indirect metabolic protection; PGD is not a canonical ferroptosis-specific factor.</x:v>
      </x:c>
      <x:c r="I32" s="23" t="str">
        <x:v>Moderate</x:v>
      </x:c>
      <x:c r="J32" s="23" t="str">
        <x:v>PGD2021;FERRO2017</x:v>
      </x:c>
      <x:c r="K32" s="23" t="str">
        <x:v>https://www.mdpi.com/2079-7737/10/2/85; https://pmc.ncbi.nlm.nih.gov/articles/PMC5685180/</x:v>
      </x:c>
      <x:c r="L32" s="23" t="str">
        <x:v>https://www.informatics.jax.org/quicksearch/summary?queryType=exactPhrase&amp;query=Pgd</x:v>
      </x:c>
      <x:c r="M32" s="23" t="str">
        <x:v>https://www.uniprot.org/uniprotkb?query=%28gene_exact%3APgd%29+AND+%28organism_id%3A10090%29</x:v>
      </x:c>
      <x:c r="N32" s="23" t="str">
        <x:v>https://reactome.org/content/query?q=Pgd&amp;species=Mus%20musculus</x:v>
      </x:c>
    </x:row>
    <x:row r="33">
      <x:c r="A33" s="22" t="str">
        <x:v>Pik3cg</x:v>
      </x:c>
      <x:c r="B33" s="23" t="str">
        <x:v>PIK3CG</x:v>
      </x:c>
      <x:c r="C33" s="23" t="str">
        <x:v>Apoptosis</x:v>
      </x:c>
      <x:c r="D33" s="23" t="str">
        <x:v>Apoptosis</x:v>
      </x:c>
      <x:c r="E33" s="23" t="str">
        <x:v>Pro-survival signaling modifier</x:v>
      </x:c>
      <x:c r="F33" s="23" t="str">
        <x:v>Generally inhibits death</x:v>
      </x:c>
      <x:c r="G33" s="23" t="str">
        <x:v>PI3K-gamma-generated PIP3 activates AKT and related survival pathways in leukocytes; inhibition or loss can sensitize selected cells to apoptosis.</x:v>
      </x:c>
      <x:c r="H33" s="23" t="str">
        <x:v>Upstream signaling, with context-dependent inflammatory effects; not a core apoptosis component.</x:v>
      </x:c>
      <x:c r="I33" s="23" t="str">
        <x:v>Moderate</x:v>
      </x:c>
      <x:c r="J33" s="23" t="str">
        <x:v>REACTOME2024;NCCD2018</x:v>
      </x:c>
      <x:c r="K33" s="23" t="str">
        <x:v>https://pmc.ncbi.nlm.nih.gov/articles/PMC10767911/; https://pubmed.ncbi.nlm.nih.gov/29362479/</x:v>
      </x:c>
      <x:c r="L33" s="23" t="str">
        <x:v>https://www.informatics.jax.org/quicksearch/summary?queryType=exactPhrase&amp;query=Pik3cg</x:v>
      </x:c>
      <x:c r="M33" s="23" t="str">
        <x:v>https://www.uniprot.org/uniprotkb?query=%28gene_exact%3APik3cg%29+AND+%28organism_id%3A10090%29</x:v>
      </x:c>
      <x:c r="N33" s="23" t="str">
        <x:v>https://reactome.org/content/query?q=Pik3cg&amp;species=Mus%20musculus</x:v>
      </x:c>
    </x:row>
    <x:row r="34">
      <x:c r="A34" s="22" t="str">
        <x:v>Prkcd</x:v>
      </x:c>
      <x:c r="B34" s="23" t="str">
        <x:v>PRKCD</x:v>
      </x:c>
      <x:c r="C34" s="23" t="str">
        <x:v>Apoptosis</x:v>
      </x:c>
      <x:c r="D34" s="23" t="str">
        <x:v>Intrinsic/extrinsic apoptosis</x:v>
      </x:c>
      <x:c r="E34" s="23" t="str">
        <x:v>Signal-transducing kinase</x:v>
      </x:c>
      <x:c r="F34" s="23" t="str">
        <x:v>Bidirectional; often pro-apoptotic</x:v>
      </x:c>
      <x:c r="G34" s="23" t="str">
        <x:v>PRKCD can be activated/cleaved during genotoxic or receptor stress and phosphorylate substrates that promote BAX/BAK, caspase and nuclear death responses.</x:v>
      </x:c>
      <x:c r="H34" s="23" t="str">
        <x:v>Also supports survival and immune signaling in other settings; annotate stimulus and cell type.</x:v>
      </x:c>
      <x:c r="I34" s="23" t="str">
        <x:v>High</x:v>
      </x:c>
      <x:c r="J34" s="23" t="str">
        <x:v>PRKCD2003;NCCD2018</x:v>
      </x:c>
      <x:c r="K34" s="23" t="str">
        <x:v>https://pubmed.ncbi.nlm.nih.gov/12510148/; https://pubmed.ncbi.nlm.nih.gov/29362479/</x:v>
      </x:c>
      <x:c r="L34" s="23" t="str">
        <x:v>https://www.informatics.jax.org/quicksearch/summary?queryType=exactPhrase&amp;query=Prkcd</x:v>
      </x:c>
      <x:c r="M34" s="23" t="str">
        <x:v>https://www.uniprot.org/uniprotkb?query=%28gene_exact%3APrkcd%29+AND+%28organism_id%3A10090%29</x:v>
      </x:c>
      <x:c r="N34" s="23" t="str">
        <x:v>https://reactome.org/content/query?q=Prkcd&amp;species=Mus%20musculus</x:v>
      </x:c>
    </x:row>
    <x:row r="35">
      <x:c r="A35" s="22" t="str">
        <x:v>Rac2</x:v>
      </x:c>
      <x:c r="B35" s="23" t="str">
        <x:v>RAC2</x:v>
      </x:c>
      <x:c r="C35" s="23" t="str">
        <x:v>NET-associated / oxidative cell death</x:v>
      </x:c>
      <x:c r="D35" s="23" t="str">
        <x:v>Oxidative cell injury / NET formation</x:v>
      </x:c>
      <x:c r="E35" s="23" t="str">
        <x:v>NOX2 and cytoskeleton modifier</x:v>
      </x:c>
      <x:c r="F35" s="23" t="str">
        <x:v>Context-dependent</x:v>
      </x:c>
      <x:c r="G35" s="23" t="str">
        <x:v>RAC2 activates NOX2 and actin programs, enabling ROS-dependent antimicrobial responses and some NET/death phenotypes.</x:v>
      </x:c>
      <x:c r="H35" s="23" t="str">
        <x:v>Neither RAC2 expression nor ROS production specifies a death modality.</x:v>
      </x:c>
      <x:c r="I35" s="23" t="str">
        <x:v>Moderate</x:v>
      </x:c>
      <x:c r="J35" s="23" t="str">
        <x:v>NOX2_2010;NCCD2018</x:v>
      </x:c>
      <x:c r="K35" s="23" t="str">
        <x:v>https://pubmed.ncbi.nlm.nih.gov/20803017/; https://pubmed.ncbi.nlm.nih.gov/29362479/</x:v>
      </x:c>
      <x:c r="L35" s="23" t="str">
        <x:v>https://www.informatics.jax.org/quicksearch/summary?queryType=exactPhrase&amp;query=Rac2</x:v>
      </x:c>
      <x:c r="M35" s="23" t="str">
        <x:v>https://www.uniprot.org/uniprotkb?query=%28gene_exact%3ARac2%29+AND+%28organism_id%3A10090%29</x:v>
      </x:c>
      <x:c r="N35" s="23" t="str">
        <x:v>https://reactome.org/content/query?q=Rac2&amp;species=Mus%20musculus</x:v>
      </x:c>
    </x:row>
    <x:row r="36">
      <x:c r="A36" s="22" t="str">
        <x:v>Rps6ka1</x:v>
      </x:c>
      <x:c r="B36" s="23" t="str">
        <x:v>RPS6KA1</x:v>
      </x:c>
      <x:c r="C36" s="23" t="str">
        <x:v>Apoptosis</x:v>
      </x:c>
      <x:c r="D36" s="23" t="str">
        <x:v>Apoptosis</x:v>
      </x:c>
      <x:c r="E36" s="23" t="str">
        <x:v>Pro-survival kinase</x:v>
      </x:c>
      <x:c r="F36" s="23" t="str">
        <x:v>Inhibits death in many contexts</x:v>
      </x:c>
      <x:c r="G36" s="23" t="str">
        <x:v>ERK-RSK1 signaling phosphorylates survival and transcriptional substrates that can restrain mitochondrial apoptosis.</x:v>
      </x:c>
      <x:c r="H36" s="23" t="str">
        <x:v>Context-dependent signaling node, not core apoptotic machinery.</x:v>
      </x:c>
      <x:c r="I36" s="23" t="str">
        <x:v>Moderate</x:v>
      </x:c>
      <x:c r="J36" s="23" t="str">
        <x:v>REACTOME2024;NCCD2018</x:v>
      </x:c>
      <x:c r="K36" s="23" t="str">
        <x:v>https://pmc.ncbi.nlm.nih.gov/articles/PMC10767911/; https://pubmed.ncbi.nlm.nih.gov/29362479/</x:v>
      </x:c>
      <x:c r="L36" s="23" t="str">
        <x:v>https://www.informatics.jax.org/quicksearch/summary?queryType=exactPhrase&amp;query=Rps6ka1</x:v>
      </x:c>
      <x:c r="M36" s="23" t="str">
        <x:v>https://www.uniprot.org/uniprotkb?query=%28gene_exact%3ARps6ka1%29+AND+%28organism_id%3A10090%29</x:v>
      </x:c>
      <x:c r="N36" s="23" t="str">
        <x:v>https://reactome.org/content/query?q=Rps6ka1&amp;species=Mus%20musculus</x:v>
      </x:c>
    </x:row>
    <x:row r="37">
      <x:c r="A37" s="22" t="str">
        <x:v>S100a8</x:v>
      </x:c>
      <x:c r="B37" s="23" t="str">
        <x:v>S100A8</x:v>
      </x:c>
      <x:c r="C37" s="23" t="str">
        <x:v>Oxidative/inflammatory or other regulated cell-death relation</x:v>
      </x:c>
      <x:c r="D37" s="23" t="str">
        <x:v>Inflammatory/oxidative cell death</x:v>
      </x:c>
      <x:c r="E37" s="23" t="str">
        <x:v>Extracellular DAMP and metal/redox modifier</x:v>
      </x:c>
      <x:c r="F37" s="23" t="str">
        <x:v>Can promote death at high/local concentrations</x:v>
      </x:c>
      <x:c r="G37" s="23" t="str">
        <x:v>Extracellular S100A8-containing complexes can drive TLR4/RAGE-dependent ROS and cytotoxic inflammatory signaling in selected models.</x:v>
      </x:c>
      <x:c r="H37" s="23" t="str">
        <x:v>Commonly a marker/mediator of inflammation rather than a death-specific factor; no single modality should be inferred from expression.</x:v>
      </x:c>
      <x:c r="I37" s="23" t="str">
        <x:v>Low</x:v>
      </x:c>
      <x:c r="J37" s="23" t="str">
        <x:v>NCCD2018</x:v>
      </x:c>
      <x:c r="K37" s="23" t="str">
        <x:v>https://pubmed.ncbi.nlm.nih.gov/29362479/</x:v>
      </x:c>
      <x:c r="L37" s="23" t="str">
        <x:v>https://www.informatics.jax.org/quicksearch/summary?queryType=exactPhrase&amp;query=S100a8</x:v>
      </x:c>
      <x:c r="M37" s="23" t="str">
        <x:v>https://www.uniprot.org/uniprotkb?query=%28gene_exact%3AS100a8%29+AND+%28organism_id%3A10090%29</x:v>
      </x:c>
      <x:c r="N37" s="23" t="str">
        <x:v>https://reactome.org/content/query?q=S100a8&amp;species=Mus%20musculus</x:v>
      </x:c>
    </x:row>
    <x:row r="38">
      <x:c r="A38" s="22" t="str">
        <x:v>S100a9</x:v>
      </x:c>
      <x:c r="B38" s="23" t="str">
        <x:v>S100A9</x:v>
      </x:c>
      <x:c r="C38" s="23" t="str">
        <x:v>Oxidative/inflammatory or other regulated cell-death relation</x:v>
      </x:c>
      <x:c r="D38" s="23" t="str">
        <x:v>Inflammatory/oxidative cell death</x:v>
      </x:c>
      <x:c r="E38" s="23" t="str">
        <x:v>Extracellular DAMP and metal/redox modifier</x:v>
      </x:c>
      <x:c r="F38" s="23" t="str">
        <x:v>Can promote death at high/local concentrations</x:v>
      </x:c>
      <x:c r="G38" s="23" t="str">
        <x:v>S100A8-S100A9 can amplify TLR4/RAGE signaling, metal stress and ROS, contributing to context-specific cytotoxicity.</x:v>
      </x:c>
      <x:c r="H38" s="23" t="str">
        <x:v>Not a canonical apoptosis, pyroptosis or ferroptosis component; concentration/oligomer state matter.</x:v>
      </x:c>
      <x:c r="I38" s="23" t="str">
        <x:v>Low</x:v>
      </x:c>
      <x:c r="J38" s="23" t="str">
        <x:v>NCCD2018</x:v>
      </x:c>
      <x:c r="K38" s="23" t="str">
        <x:v>https://pubmed.ncbi.nlm.nih.gov/29362479/</x:v>
      </x:c>
      <x:c r="L38" s="23" t="str">
        <x:v>https://www.informatics.jax.org/quicksearch/summary?queryType=exactPhrase&amp;query=S100a9</x:v>
      </x:c>
      <x:c r="M38" s="23" t="str">
        <x:v>https://www.uniprot.org/uniprotkb?query=%28gene_exact%3AS100a9%29+AND+%28organism_id%3A10090%29</x:v>
      </x:c>
      <x:c r="N38" s="23" t="str">
        <x:v>https://reactome.org/content/query?q=S100a9&amp;species=Mus%20musculus</x:v>
      </x:c>
    </x:row>
    <x:row r="39">
      <x:c r="A39" s="22" t="str">
        <x:v>Socs3</x:v>
      </x:c>
      <x:c r="B39" s="23" t="str">
        <x:v>SOCS3</x:v>
      </x:c>
      <x:c r="C39" s="23" t="str">
        <x:v>Apoptosis</x:v>
      </x:c>
      <x:c r="D39" s="23" t="str">
        <x:v>Apoptosis / cytokine-withdrawal death</x:v>
      </x:c>
      <x:c r="E39" s="23" t="str">
        <x:v>Cytokine-survival feedback modifier</x:v>
      </x:c>
      <x:c r="F39" s="23" t="str">
        <x:v>Bidirectional/context-dependent</x:v>
      </x:c>
      <x:c r="G39" s="23" t="str">
        <x:v>SOCS3 limits JAK-STAT survival/inflammatory signals and can either sensitize to apoptosis or protect from damaging cytokine signaling.</x:v>
      </x:c>
      <x:c r="H39" s="23" t="str">
        <x:v>Not a core death component; direction is highly context dependent.</x:v>
      </x:c>
      <x:c r="I39" s="23" t="str">
        <x:v>Low</x:v>
      </x:c>
      <x:c r="J39" s="23" t="str">
        <x:v>NCCD2018</x:v>
      </x:c>
      <x:c r="K39" s="23" t="str">
        <x:v>https://pubmed.ncbi.nlm.nih.gov/29362479/</x:v>
      </x:c>
      <x:c r="L39" s="23" t="str">
        <x:v>https://www.informatics.jax.org/quicksearch/summary?queryType=exactPhrase&amp;query=Socs3</x:v>
      </x:c>
      <x:c r="M39" s="23" t="str">
        <x:v>https://www.uniprot.org/uniprotkb?query=%28gene_exact%3ASocs3%29+AND+%28organism_id%3A10090%29</x:v>
      </x:c>
      <x:c r="N39" s="23" t="str">
        <x:v>https://reactome.org/content/query?q=Socs3&amp;species=Mus%20musculus</x:v>
      </x:c>
    </x:row>
    <x:row r="40">
      <x:c r="A40" s="22" t="str">
        <x:v>Stat1</x:v>
      </x:c>
      <x:c r="B40" s="23" t="str">
        <x:v>STAT1</x:v>
      </x:c>
      <x:c r="C40" s="23" t="str">
        <x:v>Apoptosis</x:v>
      </x:c>
      <x:c r="D40" s="23" t="str">
        <x:v>Apoptosis and non-apoptotic regulated death</x:v>
      </x:c>
      <x:c r="E40" s="23" t="str">
        <x:v>Transcriptional regulator</x:v>
      </x:c>
      <x:c r="F40" s="23" t="str">
        <x:v>Often promotes death</x:v>
      </x:c>
      <x:c r="G40" s="23" t="str">
        <x:v>STAT1 induces caspases, death receptors, growth-arrest and inflammatory genes and can sensitize cells to interferon/TNF-associated death.</x:v>
      </x:c>
      <x:c r="H40" s="23" t="str">
        <x:v>Can also support antimicrobial survival; effect depends on stimulus and cell type.</x:v>
      </x:c>
      <x:c r="I40" s="23" t="str">
        <x:v>High</x:v>
      </x:c>
      <x:c r="J40" s="23" t="str">
        <x:v>STAT1_2007;NCCD2018</x:v>
      </x:c>
      <x:c r="K40" s="23" t="str">
        <x:v>https://pubmed.ncbi.nlm.nih.gov/17085014/; https://pubmed.ncbi.nlm.nih.gov/29362479/</x:v>
      </x:c>
      <x:c r="L40" s="23" t="str">
        <x:v>https://www.informatics.jax.org/quicksearch/summary?queryType=exactPhrase&amp;query=Stat1</x:v>
      </x:c>
      <x:c r="M40" s="23" t="str">
        <x:v>https://www.uniprot.org/uniprotkb?query=%28gene_exact%3AStat1%29+AND+%28organism_id%3A10090%29</x:v>
      </x:c>
      <x:c r="N40" s="23" t="str">
        <x:v>https://reactome.org/content/query?q=Stat1&amp;species=Mus%20musculus</x:v>
      </x:c>
    </x:row>
    <x:row r="41">
      <x:c r="A41" s="22" t="str">
        <x:v>Tlr2</x:v>
      </x:c>
      <x:c r="B41" s="23" t="str">
        <x:v>TLR2</x:v>
      </x:c>
      <x:c r="C41" s="23" t="str">
        <x:v>Pyroptosis / inflammasome-linked death</x:v>
      </x:c>
      <x:c r="D41" s="23" t="str">
        <x:v>Pyroptosis / apoptosis (contextual)</x:v>
      </x:c>
      <x:c r="E41" s="23" t="str">
        <x:v>Upstream priming/sensing receptor</x:v>
      </x:c>
      <x:c r="F41" s="23" t="str">
        <x:v>Can promote death</x:v>
      </x:c>
      <x:c r="G41" s="23" t="str">
        <x:v>TLR2-MYD88 signaling primes inflammasome components and can cooperate with microbial signals to enable pyroptosis or apoptosis.</x:v>
      </x:c>
      <x:c r="H41" s="23" t="str">
        <x:v>Priming is not execution; TLR2 activation often produces inflammation without cell death.</x:v>
      </x:c>
      <x:c r="I41" s="23" t="str">
        <x:v>Moderate</x:v>
      </x:c>
      <x:c r="J41" s="23" t="str">
        <x:v>GSDMD2015;NCCD2018</x:v>
      </x:c>
      <x:c r="K41" s="23" t="str">
        <x:v>https://pubmed.ncbi.nlm.nih.gov/26611636/; https://pubmed.ncbi.nlm.nih.gov/29362479/</x:v>
      </x:c>
      <x:c r="L41" s="23" t="str">
        <x:v>https://www.informatics.jax.org/quicksearch/summary?queryType=exactPhrase&amp;query=Tlr2</x:v>
      </x:c>
      <x:c r="M41" s="23" t="str">
        <x:v>https://www.uniprot.org/uniprotkb?query=%28gene_exact%3ATlr2%29+AND+%28organism_id%3A10090%29</x:v>
      </x:c>
      <x:c r="N41" s="23" t="str">
        <x:v>https://reactome.org/content/query?q=Tlr2&amp;species=Mus%20musculus</x:v>
      </x:c>
    </x:row>
    <x:row r="42">
      <x:c r="A42" s="22" t="str">
        <x:v>Tlr7</x:v>
      </x:c>
      <x:c r="B42" s="23" t="str">
        <x:v>TLR7</x:v>
      </x:c>
      <x:c r="C42" s="23" t="str">
        <x:v>Pyroptosis / inflammasome-linked death</x:v>
      </x:c>
      <x:c r="D42" s="23" t="str">
        <x:v>Pyroptosis / apoptosis (contextual)</x:v>
      </x:c>
      <x:c r="E42" s="23" t="str">
        <x:v>Upstream nucleic-acid sensor</x:v>
      </x:c>
      <x:c r="F42" s="23" t="str">
        <x:v>Can promote death</x:v>
      </x:c>
      <x:c r="G42" s="23" t="str">
        <x:v>Endosomal ssRNA sensing can induce inflammatory/IFN programs that prime or cooperate with inflammasome and apoptotic pathways.</x:v>
      </x:c>
      <x:c r="H42" s="23" t="str">
        <x:v>Not a core death component; agonist dose, cell type and secondary signals determine outcome.</x:v>
      </x:c>
      <x:c r="I42" s="23" t="str">
        <x:v>Low</x:v>
      </x:c>
      <x:c r="J42" s="23" t="str">
        <x:v>NCCD2018</x:v>
      </x:c>
      <x:c r="K42" s="23" t="str">
        <x:v>https://pubmed.ncbi.nlm.nih.gov/29362479/</x:v>
      </x:c>
      <x:c r="L42" s="23" t="str">
        <x:v>https://www.informatics.jax.org/quicksearch/summary?queryType=exactPhrase&amp;query=Tlr7</x:v>
      </x:c>
      <x:c r="M42" s="23" t="str">
        <x:v>https://www.uniprot.org/uniprotkb?query=%28gene_exact%3ATlr7%29+AND+%28organism_id%3A10090%29</x:v>
      </x:c>
      <x:c r="N42" s="23" t="str">
        <x:v>https://reactome.org/content/query?q=Tlr7&amp;species=Mus%20musculus</x:v>
      </x:c>
    </x:row>
    <x:row r="43">
      <x:c r="A43" s="22" t="str">
        <x:v>Tmbim6</x:v>
      </x:c>
      <x:c r="B43" s="23" t="str">
        <x:v>TMBIM6</x:v>
      </x:c>
      <x:c r="C43" s="23" t="str">
        <x:v>Apoptosis</x:v>
      </x:c>
      <x:c r="D43" s="23" t="str">
        <x:v>Intrinsic/ER-stress apoptosis</x:v>
      </x:c>
      <x:c r="E43" s="23" t="str">
        <x:v>Core survival regulator</x:v>
      </x:c>
      <x:c r="F43" s="23" t="str">
        <x:v>Inhibits death</x:v>
      </x:c>
      <x:c r="G43" s="23" t="str">
        <x:v>ER-resident BAX-inhibitor-1/TMBIM6 limits BAX-associated and ER-stress-induced apoptosis by modulating calcium and UPR signaling.</x:v>
      </x:c>
      <x:c r="H43" s="23" t="str">
        <x:v>Reported paraptosis/other effects of pharmacologic agonism are context specific.</x:v>
      </x:c>
      <x:c r="I43" s="23" t="str">
        <x:v>High</x:v>
      </x:c>
      <x:c r="J43" s="23" t="str">
        <x:v>TMBIM6_2020;NCCD2018</x:v>
      </x:c>
      <x:c r="K43" s="23" t="str">
        <x:v>https://pubmed.ncbi.nlm.nih.gov/31841271/; https://pubmed.ncbi.nlm.nih.gov/29362479/</x:v>
      </x:c>
      <x:c r="L43" s="23" t="str">
        <x:v>https://www.informatics.jax.org/quicksearch/summary?queryType=exactPhrase&amp;query=Tmbim6</x:v>
      </x:c>
      <x:c r="M43" s="23" t="str">
        <x:v>https://www.uniprot.org/uniprotkb?query=%28gene_exact%3ATmbim6%29+AND+%28organism_id%3A10090%29</x:v>
      </x:c>
      <x:c r="N43" s="23" t="str">
        <x:v>https://reactome.org/content/query?q=Tmbim6&amp;species=Mus%20musculus</x:v>
      </x:c>
    </x:row>
    <x:row r="44">
      <x:c r="A44" s="22" t="str">
        <x:v>Tnf</x:v>
      </x:c>
      <x:c r="B44" s="23" t="str">
        <x:v>TNF</x:v>
      </x:c>
      <x:c r="C44" s="23" t="str">
        <x:v>Apoptosis</x:v>
      </x:c>
      <x:c r="D44" s="23" t="str">
        <x:v>Extrinsic apoptosis</x:v>
      </x:c>
      <x:c r="E44" s="23" t="str">
        <x:v>Upstream death ligand</x:v>
      </x:c>
      <x:c r="F44" s="23" t="str">
        <x:v>Promotes or permits death</x:v>
      </x:c>
      <x:c r="G44" s="23" t="str">
        <x:v>TNF binding to TNFR1 can assemble RIPK1-FADD-caspase-8 complexes and activate caspase-dependent apoptosis when pro-survival checkpoints fail.</x:v>
      </x:c>
      <x:c r="H44" s="23" t="str">
        <x:v>TNF more often activates inflammation/survival; death requires defined signaling context.</x:v>
      </x:c>
      <x:c r="I44" s="23" t="str">
        <x:v>High</x:v>
      </x:c>
      <x:c r="J44" s="23" t="str">
        <x:v>TNF2022;NCCD2018</x:v>
      </x:c>
      <x:c r="K44" s="23" t="str">
        <x:v>https://pmc.ncbi.nlm.nih.gov/articles/PMC9665039/; https://pubmed.ncbi.nlm.nih.gov/29362479/</x:v>
      </x:c>
      <x:c r="L44" s="23" t="str">
        <x:v>https://www.informatics.jax.org/quicksearch/summary?queryType=exactPhrase&amp;query=Tnf</x:v>
      </x:c>
      <x:c r="M44" s="23" t="str">
        <x:v>https://www.uniprot.org/uniprotkb?query=%28gene_exact%3ATnf%29+AND+%28organism_id%3A10090%29</x:v>
      </x:c>
      <x:c r="N44" s="23" t="str">
        <x:v>https://reactome.org/content/query?q=Tnf&amp;species=Mus%20musculus</x:v>
      </x:c>
    </x:row>
    <x:row r="45">
      <x:c r="A45" s="22" t="str">
        <x:v>Tnf</x:v>
      </x:c>
      <x:c r="B45" s="23" t="str">
        <x:v>TNF</x:v>
      </x:c>
      <x:c r="C45" s="23" t="str">
        <x:v>Necroptosis</x:v>
      </x:c>
      <x:c r="D45" s="23" t="str">
        <x:v>Necroptosis</x:v>
      </x:c>
      <x:c r="E45" s="23" t="str">
        <x:v>Upstream death ligand</x:v>
      </x:c>
      <x:c r="F45" s="23" t="str">
        <x:v>Promotes death</x:v>
      </x:c>
      <x:c r="G45" s="23" t="str">
        <x:v>When caspase-8 activity is absent/inhibited, TNFR1 signaling can engage RIPK1-RIPK3-MLKL necroptosis.</x:v>
      </x:c>
      <x:c r="H45" s="23" t="str">
        <x:v>Requires the necroptotic machinery; TNF expression alone does not demonstrate necroptosis.</x:v>
      </x:c>
      <x:c r="I45" s="23" t="str">
        <x:v>High</x:v>
      </x:c>
      <x:c r="J45" s="23" t="str">
        <x:v>TNF2022;NCCD2018</x:v>
      </x:c>
      <x:c r="K45" s="23" t="str">
        <x:v>https://pmc.ncbi.nlm.nih.gov/articles/PMC9665039/; https://pubmed.ncbi.nlm.nih.gov/29362479/</x:v>
      </x:c>
      <x:c r="L45" s="23" t="str">
        <x:v>https://www.informatics.jax.org/quicksearch/summary?queryType=exactPhrase&amp;query=Tnf</x:v>
      </x:c>
      <x:c r="M45" s="23" t="str">
        <x:v>https://www.uniprot.org/uniprotkb?query=%28gene_exact%3ATnf%29+AND+%28organism_id%3A10090%29</x:v>
      </x:c>
      <x:c r="N45" s="23" t="str">
        <x:v>https://reactome.org/content/query?q=Tnf&amp;species=Mus%20musculus</x:v>
      </x:c>
    </x:row>
    <x:row r="46">
      <x:c r="A46" s="22" t="str">
        <x:v>Trem2</x:v>
      </x:c>
      <x:c r="B46" s="23" t="str">
        <x:v>TREM2</x:v>
      </x:c>
      <x:c r="C46" s="23" t="str">
        <x:v>Efferocytosis / post-death clearance</x:v>
      </x:c>
      <x:c r="D46" s="23" t="str">
        <x:v>Apoptotic-cell clearance (efferocytosis)</x:v>
      </x:c>
      <x:c r="E46" s="23" t="str">
        <x:v>Phagocytic recognition/signaling</x:v>
      </x:c>
      <x:c r="F46" s="23" t="str">
        <x:v>Promotes clearance</x:v>
      </x:c>
      <x:c r="G46" s="23" t="str">
        <x:v>TREM2-TYROBP signaling supports uptake and processing of apoptotic/lipid-rich cellular debris by microglia/macrophages.</x:v>
      </x:c>
      <x:c r="H46" s="23" t="str">
        <x:v>Clearance/sensing relation, not execution of cell death.</x:v>
      </x:c>
      <x:c r="I46" s="23" t="str">
        <x:v>Moderate</x:v>
      </x:c>
      <x:c r="J46" s="23" t="str">
        <x:v>TREM2_2020;C1Q2014</x:v>
      </x:c>
      <x:c r="K46" s="23" t="str">
        <x:v>https://pubmed.ncbi.nlm.nih.gov/31902528/; https://pmc.ncbi.nlm.nih.gov/articles/PMC4040260/</x:v>
      </x:c>
      <x:c r="L46" s="23" t="str">
        <x:v>https://www.informatics.jax.org/quicksearch/summary?queryType=exactPhrase&amp;query=Trem2</x:v>
      </x:c>
      <x:c r="M46" s="23" t="str">
        <x:v>https://www.uniprot.org/uniprotkb?query=%28gene_exact%3ATrem2%29+AND+%28organism_id%3A10090%29</x:v>
      </x:c>
      <x:c r="N46" s="23" t="str">
        <x:v>https://reactome.org/content/query?q=Trem2&amp;species=Mus%20musculus</x:v>
      </x:c>
    </x:row>
    <x:row r="47">
      <x:c r="A47" s="22" t="str">
        <x:v>Trem2</x:v>
      </x:c>
      <x:c r="B47" s="23" t="str">
        <x:v>TREM2</x:v>
      </x:c>
      <x:c r="C47" s="23" t="str">
        <x:v>Cell-survival regulation</x:v>
      </x:c>
      <x:c r="D47" s="23" t="str">
        <x:v>Cell survival</x:v>
      </x:c>
      <x:c r="E47" s="23" t="str">
        <x:v>Pro-survival receptor signaling</x:v>
      </x:c>
      <x:c r="F47" s="23" t="str">
        <x:v>Inhibits death</x:v>
      </x:c>
      <x:c r="G47" s="23" t="str">
        <x:v>TREM2-TYROBP-SYK/PI3K signaling supports microglial survival during lipid/phagocytic stress.</x:v>
      </x:c>
      <x:c r="H47" s="23" t="str">
        <x:v>Not a canonical anti-apoptotic protein; effect depends on ligand and disease state.</x:v>
      </x:c>
      <x:c r="I47" s="23" t="str">
        <x:v>Moderate</x:v>
      </x:c>
      <x:c r="J47" s="23" t="str">
        <x:v>TREM2_2020</x:v>
      </x:c>
      <x:c r="K47" s="23" t="str">
        <x:v>https://pubmed.ncbi.nlm.nih.gov/31902528/</x:v>
      </x:c>
      <x:c r="L47" s="23" t="str">
        <x:v>https://www.informatics.jax.org/quicksearch/summary?queryType=exactPhrase&amp;query=Trem2</x:v>
      </x:c>
      <x:c r="M47" s="23" t="str">
        <x:v>https://www.uniprot.org/uniprotkb?query=%28gene_exact%3ATrem2%29+AND+%28organism_id%3A10090%29</x:v>
      </x:c>
      <x:c r="N47" s="23" t="str">
        <x:v>https://reactome.org/content/query?q=Trem2&amp;species=Mus%20musculus</x:v>
      </x:c>
    </x:row>
    <x:row r="48">
      <x:c r="A48" s="22" t="str">
        <x:v>Tspo</x:v>
      </x:c>
      <x:c r="B48" s="23" t="str">
        <x:v>TSPO</x:v>
      </x:c>
      <x:c r="C48" s="23" t="str">
        <x:v>Apoptosis</x:v>
      </x:c>
      <x:c r="D48" s="23" t="str">
        <x:v>Apoptosis / mitochondrial permeability (reported)</x:v>
      </x:c>
      <x:c r="E48" s="23" t="str">
        <x:v>Disputed mitochondrial modifier</x:v>
      </x:c>
      <x:c r="F48" s="23" t="str">
        <x:v>Bidirectional/context-dependent</x:v>
      </x:c>
      <x:c r="G48" s="23" t="str">
        <x:v>TSPO ligands and expression changes have been associated with mitochondrial permeability and apoptosis in many pharmacologic studies.</x:v>
      </x:c>
      <x:c r="H48" s="23" t="str">
        <x:v>Genetic knockout data challenge a universal causal role; do not treat TSPO as a core apoptosis executor.</x:v>
      </x:c>
      <x:c r="I48" s="23" t="str">
        <x:v>Low</x:v>
      </x:c>
      <x:c r="J48" s="23" t="str">
        <x:v>TSPO2018;NCCD2018</x:v>
      </x:c>
      <x:c r="K48" s="23" t="str">
        <x:v>https://pmc.ncbi.nlm.nih.gov/articles/PMC5748373/; https://pubmed.ncbi.nlm.nih.gov/29362479/</x:v>
      </x:c>
      <x:c r="L48" s="23" t="str">
        <x:v>https://www.informatics.jax.org/quicksearch/summary?queryType=exactPhrase&amp;query=Tspo</x:v>
      </x:c>
      <x:c r="M48" s="23" t="str">
        <x:v>https://www.uniprot.org/uniprotkb?query=%28gene_exact%3ATspo%29+AND+%28organism_id%3A10090%29</x:v>
      </x:c>
      <x:c r="N48" s="23" t="str">
        <x:v>https://reactome.org/content/query?q=Tspo&amp;species=Mus%20musculus</x:v>
      </x:c>
    </x:row>
    <x:row r="49">
      <x:c r="A49" s="22" t="str">
        <x:v>Tyrobp</x:v>
      </x:c>
      <x:c r="B49" s="23" t="str">
        <x:v>TYROBP</x:v>
      </x:c>
      <x:c r="C49" s="23" t="str">
        <x:v>Efferocytosis / post-death clearance</x:v>
      </x:c>
      <x:c r="D49" s="23" t="str">
        <x:v>Cell survival and efferocytosis</x:v>
      </x:c>
      <x:c r="E49" s="23" t="str">
        <x:v>Receptor-adaptor modifier</x:v>
      </x:c>
      <x:c r="F49" s="23" t="str">
        <x:v>Generally inhibits death/promotes clearance</x:v>
      </x:c>
      <x:c r="G49" s="23" t="str">
        <x:v>DAP12 couples TREM2 and related receptors to SYK/PI3K signaling that supports phagocytosis and myeloid survival.</x:v>
      </x:c>
      <x:c r="H49" s="23" t="str">
        <x:v>Not a cell-death executor; receptor context determines outcome.</x:v>
      </x:c>
      <x:c r="I49" s="23" t="str">
        <x:v>Moderate</x:v>
      </x:c>
      <x:c r="J49" s="23" t="str">
        <x:v>TREM2_2020;NCCD2018</x:v>
      </x:c>
      <x:c r="K49" s="23" t="str">
        <x:v>https://pubmed.ncbi.nlm.nih.gov/31902528/; https://pubmed.ncbi.nlm.nih.gov/29362479/</x:v>
      </x:c>
      <x:c r="L49" s="23" t="str">
        <x:v>https://www.informatics.jax.org/quicksearch/summary?queryType=exactPhrase&amp;query=Tyrobp</x:v>
      </x:c>
      <x:c r="M49" s="23" t="str">
        <x:v>https://www.uniprot.org/uniprotkb?query=%28gene_exact%3ATyrobp%29+AND+%28organism_id%3A10090%29</x:v>
      </x:c>
      <x:c r="N49" s="23" t="str">
        <x:v>https://reactome.org/content/query?q=Tyrobp&amp;species=Mus%20musculus</x:v>
      </x:c>
    </x:row>
    <x:row r="50">
      <x:c r="A50" s="22" t="str">
        <x:v>Ucp2</x:v>
      </x:c>
      <x:c r="B50" s="23" t="str">
        <x:v>UCP2</x:v>
      </x:c>
      <x:c r="C50" s="23" t="str">
        <x:v>Ferroptosis / lipid-peroxidation death</x:v>
      </x:c>
      <x:c r="D50" s="23" t="str">
        <x:v>Apoptosis / ferroptosis / oxidative death</x:v>
      </x:c>
      <x:c r="E50" s="23" t="str">
        <x:v>Mitochondrial redox modifier</x:v>
      </x:c>
      <x:c r="F50" s="23" t="str">
        <x:v>Often inhibits ROS-driven death</x:v>
      </x:c>
      <x:c r="G50" s="23" t="str">
        <x:v>UCP2-dependent changes in membrane potential and substrate use can reduce mitochondrial ROS and protect from apoptosis or lipid-peroxidation-associated death.</x:v>
      </x:c>
      <x:c r="H50" s="23" t="str">
        <x:v>Highly context dependent and not a core ferroptosis/apoptosis protein; some settings show opposite effects.</x:v>
      </x:c>
      <x:c r="I50" s="23" t="str">
        <x:v>Low</x:v>
      </x:c>
      <x:c r="J50" s="23" t="str">
        <x:v>UCP2_2014;FERRO2017;NCCD2018</x:v>
      </x:c>
      <x:c r="K50" s="23" t="str">
        <x:v>https://pubmed.ncbi.nlm.nih.gov/25256770/; https://pmc.ncbi.nlm.nih.gov/articles/PMC5685180/; https://pubmed.ncbi.nlm.nih.gov/29362479/</x:v>
      </x:c>
      <x:c r="L50" s="23" t="str">
        <x:v>https://www.informatics.jax.org/quicksearch/summary?queryType=exactPhrase&amp;query=Ucp2</x:v>
      </x:c>
      <x:c r="M50" s="23" t="str">
        <x:v>https://www.uniprot.org/uniprotkb?query=%28gene_exact%3AUcp2%29+AND+%28organism_id%3A10090%29</x:v>
      </x:c>
      <x:c r="N50" s="23" t="str">
        <x:v>https://reactome.org/content/query?q=Ucp2&amp;species=Mus%20musculus</x:v>
      </x:c>
    </x:row>
    <x:row r="51">
      <x:c r="A51" s="24" t="str">
        <x:v>Xdh</x:v>
      </x:c>
      <x:c r="B51" s="25" t="str">
        <x:v>XDH</x:v>
      </x:c>
      <x:c r="C51" s="25" t="str">
        <x:v>Ferroptosis / lipid-peroxidation death</x:v>
      </x:c>
      <x:c r="D51" s="25" t="str">
        <x:v>Oxidative cell injury / ferroptosis-apoptosis modulation</x:v>
      </x:c>
      <x:c r="E51" s="25" t="str">
        <x:v>ROS-generating metabolic enzyme</x:v>
      </x:c>
      <x:c r="F51" s="25" t="str">
        <x:v>Can promote death</x:v>
      </x:c>
      <x:c r="G51" s="25" t="str">
        <x:v>Xanthine-oxidase-form XDH produces superoxide/H2O2 that can amplify oxidative damage, lipid peroxidation and mitochondrial/caspase stress.</x:v>
      </x:c>
      <x:c r="H51" s="25" t="str">
        <x:v>Not a modality-specific executor; the NAD-dependent dehydrogenase form produces less ROS.</x:v>
      </x:c>
      <x:c r="I51" s="25" t="str">
        <x:v>Moderate</x:v>
      </x:c>
      <x:c r="J51" s="25" t="str">
        <x:v>XDH2020;FERRO2017;NCCD2018</x:v>
      </x:c>
      <x:c r="K51" s="25" t="str">
        <x:v>https://pubmed.ncbi.nlm.nih.gov/32893671/; https://pmc.ncbi.nlm.nih.gov/articles/PMC5685180/; https://pubmed.ncbi.nlm.nih.gov/29362479/</x:v>
      </x:c>
      <x:c r="L51" s="25" t="str">
        <x:v>https://www.informatics.jax.org/quicksearch/summary?queryType=exactPhrase&amp;query=Xdh</x:v>
      </x:c>
      <x:c r="M51" s="25" t="str">
        <x:v>https://www.uniprot.org/uniprotkb?query=%28gene_exact%3AXdh%29+AND+%28organism_id%3A10090%29</x:v>
      </x:c>
      <x:c r="N51" s="25" t="str">
        <x:v>https://reactome.org/content/query?q=Xdh&amp;species=Mus%20musculus</x:v>
      </x:c>
    </x:row>
  </x:sheetData>
  <x:mergeCells>
    <x:mergeCell ref="A1:N1"/>
    <x:mergeCell ref="A2:N2"/>
  </x:mergeCells>
  <x:conditionalFormatting sqref="I4:I51">
    <x:cfRule type="containsText" dxfId="6" priority="1" operator="containsText" text="High"/>
    <x:cfRule type="containsText" dxfId="7" priority="2" operator="containsText" text="Moderate"/>
    <x:cfRule type="containsText" dxfId="8" priority="3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025a1d8a80a4e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34" hidden="0" customWidth="1"/>
    <x:col min="4" max="4" width="62" hidden="0" customWidth="1"/>
    <x:col min="5" max="5" width="14" hidden="0" customWidth="1"/>
    <x:col min="6" max="6" width="34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  <x:col min="11" max="11" width="44" hidden="0" customWidth="1"/>
  </x:cols>
  <x:sheetData>
    <x:row r="1" ht="26" customHeight="1">
      <x:c r="A1" s="70" t="str">
        <x:v>Other pathways and core functions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</x:row>
    <x:row r="2" ht="34" customHeight="1">
      <x:c r="A2" s="7" t="str">
        <x:v>Every submitted gene is represented. These annotations capture the best-supported primary function(s) outside metabolism and regulated cell death.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34" customHeight="1">
      <x:c r="A3" s="80" t="str">
        <x:v>Mouse symbol</x:v>
      </x:c>
      <x:c r="B3" s="81" t="str">
        <x:v>Human ortholog / analog</x:v>
      </x:c>
      <x:c r="C3" s="81" t="str">
        <x:v>Other pathway group(s)</x:v>
      </x:c>
      <x:c r="D3" s="81" t="str">
        <x:v>Exact core function</x:v>
      </x:c>
      <x:c r="E3" s="81" t="str">
        <x:v>Confidence</x:v>
      </x:c>
      <x:c r="F3" s="81" t="str">
        <x:v>Database/reference keys</x:v>
      </x:c>
      <x:c r="G3" s="81" t="str">
        <x:v>MGI</x:v>
      </x:c>
      <x:c r="H3" s="81" t="str">
        <x:v>UniProt</x:v>
      </x:c>
      <x:c r="I3" s="81" t="str">
        <x:v>NCBI Gene</x:v>
      </x:c>
      <x:c r="J3" s="81" t="str">
        <x:v>Reactome</x:v>
      </x:c>
      <x:c r="K3" s="81" t="str">
        <x:v>Targeted PubMed search</x:v>
      </x:c>
    </x:row>
    <x:row r="4">
      <x:c r="A4" s="22" t="str">
        <x:v>AB124611</x:v>
      </x:c>
      <x:c r="B4" s="23" t="str">
        <x:v>C19orf38</x:v>
      </x:c>
      <x:c r="C4" s="23" t="str">
        <x:v>Immune-cell membrane protein; poorly characterized</x:v>
      </x:c>
      <x:c r="D4" s="23" t="str">
        <x:v>Accession-like official mouse gene (also Gm1706/HIDE1); predicted single-pass membrane protein, but experimentally defined molecular function remains limited.</x:v>
      </x:c>
      <x:c r="E4" s="23" t="str">
        <x:v>Low</x:v>
      </x:c>
      <x:c r="F4" s="23" t="str">
        <x:v>MGI2020;ALLIANCE2024;UNIPROT2025;NCBIGENE2015;REACTOME2024</x:v>
      </x:c>
      <x:c r="G4" s="23" t="str">
        <x:v>https://www.informatics.jax.org/quicksearch/summary?queryType=exactPhrase&amp;query=AB124611</x:v>
      </x:c>
      <x:c r="H4" s="23" t="str">
        <x:v>https://www.uniprot.org/uniprotkb?query=%28gene_exact%3AAB124611%29+AND+%28organism_id%3A10090%29</x:v>
      </x:c>
      <x:c r="I4" s="23" t="str">
        <x:v>https://www.ncbi.nlm.nih.gov/gene/?term=AB124611%5Bgene%5D%20AND%20Mus%20musculus%5Borgn%5D</x:v>
      </x:c>
      <x:c r="J4" s="23" t="str">
        <x:v>https://reactome.org/content/query?q=AB124611&amp;species=Mus%20musculus</x:v>
      </x:c>
      <x:c r="K4" s="23" t="str">
        <x:v>https://pubmed.ncbi.nlm.nih.gov/?term=(AB124611%5BTitle%2FAbstract%5D)%20AND%20(mouse%20OR%20murine)</x:v>
      </x:c>
    </x:row>
    <x:row r="5">
      <x:c r="A5" s="22" t="str">
        <x:v>Abcc3</x:v>
      </x:c>
      <x:c r="B5" s="23" t="str">
        <x:v>ABCC3</x:v>
      </x:c>
      <x:c r="C5" s="23" t="str">
        <x:v>ABC transport; xenobiotic/endobiotic handling</x:v>
      </x:c>
      <x:c r="D5" s="23" t="str">
        <x:v>ATP-dependent efflux transporter for glucuronide, sulfate and glutathione conjugates, bile acids and diverse drugs across plasma membranes.</x:v>
      </x:c>
      <x:c r="E5" s="23" t="str">
        <x:v>High</x:v>
      </x:c>
      <x:c r="F5" s="23" t="str">
        <x:v>MGI2020;ALLIANCE2024;UNIPROT2025;NCBIGENE2015;REACTOME2024</x:v>
      </x:c>
      <x:c r="G5" s="23" t="str">
        <x:v>https://www.informatics.jax.org/quicksearch/summary?queryType=exactPhrase&amp;query=Abcc3</x:v>
      </x:c>
      <x:c r="H5" s="23" t="str">
        <x:v>https://www.uniprot.org/uniprotkb?query=%28gene_exact%3AAbcc3%29+AND+%28organism_id%3A10090%29</x:v>
      </x:c>
      <x:c r="I5" s="23" t="str">
        <x:v>https://www.ncbi.nlm.nih.gov/gene/?term=Abcc3%5Bgene%5D%20AND%20Mus%20musculus%5Borgn%5D</x:v>
      </x:c>
      <x:c r="J5" s="23" t="str">
        <x:v>https://reactome.org/content/query?q=Abcc3&amp;species=Mus%20musculus</x:v>
      </x:c>
      <x:c r="K5" s="23" t="str">
        <x:v>https://pubmed.ncbi.nlm.nih.gov/?term=(Abcc3%5BTitle%2FAbstract%5D)%20AND%20(mouse%20OR%20murine)</x:v>
      </x:c>
    </x:row>
    <x:row r="6">
      <x:c r="A6" s="22" t="str">
        <x:v>Abcf2</x:v>
      </x:c>
      <x:c r="B6" s="23" t="str">
        <x:v>ABCF2</x:v>
      </x:c>
      <x:c r="C6" s="23" t="str">
        <x:v>Translation and ribosome-associated quality control</x:v>
      </x:c>
      <x:c r="D6" s="23" t="str">
        <x:v>Soluble ABC-F ATPase associated with ribosomes; supports protein synthesis/ribosome protection rather than membrane transport.</x:v>
      </x:c>
      <x:c r="E6" s="23" t="str">
        <x:v>Moderate</x:v>
      </x:c>
      <x:c r="F6" s="23" t="str">
        <x:v>MGI2020;ALLIANCE2024;UNIPROT2025;NCBIGENE2015;REACTOME2024</x:v>
      </x:c>
      <x:c r="G6" s="23" t="str">
        <x:v>https://www.informatics.jax.org/quicksearch/summary?queryType=exactPhrase&amp;query=Abcf2</x:v>
      </x:c>
      <x:c r="H6" s="23" t="str">
        <x:v>https://www.uniprot.org/uniprotkb?query=%28gene_exact%3AAbcf2%29+AND+%28organism_id%3A10090%29</x:v>
      </x:c>
      <x:c r="I6" s="23" t="str">
        <x:v>https://www.ncbi.nlm.nih.gov/gene/?term=Abcf2%5Bgene%5D%20AND%20Mus%20musculus%5Borgn%5D</x:v>
      </x:c>
      <x:c r="J6" s="23" t="str">
        <x:v>https://reactome.org/content/query?q=Abcf2&amp;species=Mus%20musculus</x:v>
      </x:c>
      <x:c r="K6" s="23" t="str">
        <x:v>https://pubmed.ncbi.nlm.nih.gov/?term=(Abcf2%5BTitle%2FAbstract%5D)%20AND%20(mouse%20OR%20murine)</x:v>
      </x:c>
    </x:row>
    <x:row r="7">
      <x:c r="A7" s="22" t="str">
        <x:v>Adgre1</x:v>
      </x:c>
      <x:c r="B7" s="23" t="str">
        <x:v>ADGRE1</x:v>
      </x:c>
      <x:c r="C7" s="23" t="str">
        <x:v>Myeloid identity; adhesion GPCR signaling</x:v>
      </x:c>
      <x:c r="D7" s="23" t="str">
        <x:v>F4/80 adhesion-type GPCR expressed by macrophage-lineage cells; participates in immune-cell adhesion and tissue macrophage biology.</x:v>
      </x:c>
      <x:c r="E7" s="23" t="str">
        <x:v>High</x:v>
      </x:c>
      <x:c r="F7" s="23" t="str">
        <x:v>MGI2020;ALLIANCE2024;UNIPROT2025;NCBIGENE2015;REACTOME2024</x:v>
      </x:c>
      <x:c r="G7" s="23" t="str">
        <x:v>https://www.informatics.jax.org/quicksearch/summary?queryType=exactPhrase&amp;query=Adgre1</x:v>
      </x:c>
      <x:c r="H7" s="23" t="str">
        <x:v>https://www.uniprot.org/uniprotkb?query=%28gene_exact%3AAdgre1%29+AND+%28organism_id%3A10090%29</x:v>
      </x:c>
      <x:c r="I7" s="23" t="str">
        <x:v>https://www.ncbi.nlm.nih.gov/gene/?term=Adgre1%5Bgene%5D%20AND%20Mus%20musculus%5Borgn%5D</x:v>
      </x:c>
      <x:c r="J7" s="23" t="str">
        <x:v>https://reactome.org/content/query?q=Adgre1&amp;species=Mus%20musculus</x:v>
      </x:c>
      <x:c r="K7" s="23" t="str">
        <x:v>https://pubmed.ncbi.nlm.nih.gov/?term=(Adgre1%5BTitle%2FAbstract%5D)%20AND%20(mouse%20OR%20murine)</x:v>
      </x:c>
    </x:row>
    <x:row r="8">
      <x:c r="A8" s="22" t="str">
        <x:v>Aif1</x:v>
      </x:c>
      <x:c r="B8" s="23" t="str">
        <x:v>AIF1</x:v>
      </x:c>
      <x:c r="C8" s="23" t="str">
        <x:v>Actin remodeling; phagocyte activation</x:v>
      </x:c>
      <x:c r="D8" s="23" t="str">
        <x:v>Calcium-responsive actin-binding protein that promotes membrane ruffling, migration and phagocytic/inflammatory responses in myeloid cells.</x:v>
      </x:c>
      <x:c r="E8" s="23" t="str">
        <x:v>High</x:v>
      </x:c>
      <x:c r="F8" s="23" t="str">
        <x:v>MGI2020;ALLIANCE2024;UNIPROT2025;NCBIGENE2015;REACTOME2024</x:v>
      </x:c>
      <x:c r="G8" s="23" t="str">
        <x:v>https://www.informatics.jax.org/quicksearch/summary?queryType=exactPhrase&amp;query=Aif1</x:v>
      </x:c>
      <x:c r="H8" s="23" t="str">
        <x:v>https://www.uniprot.org/uniprotkb?query=%28gene_exact%3AAif1%29+AND+%28organism_id%3A10090%29</x:v>
      </x:c>
      <x:c r="I8" s="23" t="str">
        <x:v>https://www.ncbi.nlm.nih.gov/gene/?term=Aif1%5Bgene%5D%20AND%20Mus%20musculus%5Borgn%5D</x:v>
      </x:c>
      <x:c r="J8" s="23" t="str">
        <x:v>https://reactome.org/content/query?q=Aif1&amp;species=Mus%20musculus</x:v>
      </x:c>
      <x:c r="K8" s="23" t="str">
        <x:v>https://pubmed.ncbi.nlm.nih.gov/?term=(Aif1%5BTitle%2FAbstract%5D)%20AND%20(mouse%20OR%20murine)</x:v>
      </x:c>
    </x:row>
    <x:row r="9">
      <x:c r="A9" s="22" t="str">
        <x:v>Apobr</x:v>
      </x:c>
      <x:c r="B9" s="23" t="str">
        <x:v>APOBR</x:v>
      </x:c>
      <x:c r="C9" s="23" t="str">
        <x:v>Lipoprotein uptake; foam-cell biology</x:v>
      </x:c>
      <x:c r="D9" s="23" t="str">
        <x:v>Macrophage receptor that binds apoB48-containing triglyceride-rich lipoproteins and promotes their internalization.</x:v>
      </x:c>
      <x:c r="E9" s="23" t="str">
        <x:v>High</x:v>
      </x:c>
      <x:c r="F9" s="23" t="str">
        <x:v>MGI2020;ALLIANCE2024;UNIPROT2025;NCBIGENE2015;REACTOME2024</x:v>
      </x:c>
      <x:c r="G9" s="23" t="str">
        <x:v>https://www.informatics.jax.org/quicksearch/summary?queryType=exactPhrase&amp;query=Apobr</x:v>
      </x:c>
      <x:c r="H9" s="23" t="str">
        <x:v>https://www.uniprot.org/uniprotkb?query=%28gene_exact%3AApobr%29+AND+%28organism_id%3A10090%29</x:v>
      </x:c>
      <x:c r="I9" s="23" t="str">
        <x:v>https://www.ncbi.nlm.nih.gov/gene/?term=Apobr%5Bgene%5D%20AND%20Mus%20musculus%5Borgn%5D</x:v>
      </x:c>
      <x:c r="J9" s="23" t="str">
        <x:v>https://reactome.org/content/query?q=Apobr&amp;species=Mus%20musculus</x:v>
      </x:c>
      <x:c r="K9" s="23" t="str">
        <x:v>https://pubmed.ncbi.nlm.nih.gov/?term=(Apobr%5BTitle%2FAbstract%5D)%20AND%20(mouse%20OR%20murine)</x:v>
      </x:c>
    </x:row>
    <x:row r="10">
      <x:c r="A10" s="22" t="str">
        <x:v>Arhgap25</x:v>
      </x:c>
      <x:c r="B10" s="23" t="str">
        <x:v>ARHGAP25</x:v>
      </x:c>
      <x:c r="C10" s="23" t="str">
        <x:v>Rho-family signaling; leukocyte migration</x:v>
      </x:c>
      <x:c r="D10" s="23" t="str">
        <x:v>Leukocyte-enriched GTPase-activating protein that restrains RAC-family signaling and controls actin dynamics, chemotaxis and phagocytosis.</x:v>
      </x:c>
      <x:c r="E10" s="23" t="str">
        <x:v>High</x:v>
      </x:c>
      <x:c r="F10" s="23" t="str">
        <x:v>MGI2020;ALLIANCE2024;UNIPROT2025;NCBIGENE2015;REACTOME2024</x:v>
      </x:c>
      <x:c r="G10" s="23" t="str">
        <x:v>https://www.informatics.jax.org/quicksearch/summary?queryType=exactPhrase&amp;query=Arhgap25</x:v>
      </x:c>
      <x:c r="H10" s="23" t="str">
        <x:v>https://www.uniprot.org/uniprotkb?query=%28gene_exact%3AArhgap25%29+AND+%28organism_id%3A10090%29</x:v>
      </x:c>
      <x:c r="I10" s="23" t="str">
        <x:v>https://www.ncbi.nlm.nih.gov/gene/?term=Arhgap25%5Bgene%5D%20AND%20Mus%20musculus%5Borgn%5D</x:v>
      </x:c>
      <x:c r="J10" s="23" t="str">
        <x:v>https://reactome.org/content/query?q=Arhgap25&amp;species=Mus%20musculus</x:v>
      </x:c>
      <x:c r="K10" s="23" t="str">
        <x:v>https://pubmed.ncbi.nlm.nih.gov/?term=(Arhgap25%5BTitle%2FAbstract%5D)%20AND%20(mouse%20OR%20murine)</x:v>
      </x:c>
    </x:row>
    <x:row r="11">
      <x:c r="A11" s="22" t="str">
        <x:v>Arhgef19</x:v>
      </x:c>
      <x:c r="B11" s="23" t="str">
        <x:v>ARHGEF19</x:v>
      </x:c>
      <x:c r="C11" s="23" t="str">
        <x:v>Rho-family signaling; cytoskeleton</x:v>
      </x:c>
      <x:c r="D11" s="23" t="str">
        <x:v>Rho guanine-nucleotide exchange factor that activates RHO-family GTPases; functional characterization is context dependent.</x:v>
      </x:c>
      <x:c r="E11" s="23" t="str">
        <x:v>Moderate</x:v>
      </x:c>
      <x:c r="F11" s="23" t="str">
        <x:v>MGI2020;ALLIANCE2024;UNIPROT2025;NCBIGENE2015;REACTOME2024</x:v>
      </x:c>
      <x:c r="G11" s="23" t="str">
        <x:v>https://www.informatics.jax.org/quicksearch/summary?queryType=exactPhrase&amp;query=Arhgef19</x:v>
      </x:c>
      <x:c r="H11" s="23" t="str">
        <x:v>https://www.uniprot.org/uniprotkb?query=%28gene_exact%3AArhgef19%29+AND+%28organism_id%3A10090%29</x:v>
      </x:c>
      <x:c r="I11" s="23" t="str">
        <x:v>https://www.ncbi.nlm.nih.gov/gene/?term=Arhgef19%5Bgene%5D%20AND%20Mus%20musculus%5Borgn%5D</x:v>
      </x:c>
      <x:c r="J11" s="23" t="str">
        <x:v>https://reactome.org/content/query?q=Arhgef19&amp;species=Mus%20musculus</x:v>
      </x:c>
      <x:c r="K11" s="23" t="str">
        <x:v>https://pubmed.ncbi.nlm.nih.gov/?term=(Arhgef19%5BTitle%2FAbstract%5D)%20AND%20(mouse%20OR%20murine)</x:v>
      </x:c>
    </x:row>
    <x:row r="12">
      <x:c r="A12" s="22" t="str">
        <x:v>Arpc1b</x:v>
      </x:c>
      <x:c r="B12" s="23" t="str">
        <x:v>ARPC1B</x:v>
      </x:c>
      <x:c r="C12" s="23" t="str">
        <x:v>Arp2/3 actin nucleation; immune synapse</x:v>
      </x:c>
      <x:c r="D12" s="23" t="str">
        <x:v>Core Arp2/3-complex subunit required for branched actin polymerization, immune-cell migration, phagocytosis and synapse formation.</x:v>
      </x:c>
      <x:c r="E12" s="23" t="str">
        <x:v>High</x:v>
      </x:c>
      <x:c r="F12" s="23" t="str">
        <x:v>MGI2020;ALLIANCE2024;UNIPROT2025;NCBIGENE2015;REACTOME2024</x:v>
      </x:c>
      <x:c r="G12" s="23" t="str">
        <x:v>https://www.informatics.jax.org/quicksearch/summary?queryType=exactPhrase&amp;query=Arpc1b</x:v>
      </x:c>
      <x:c r="H12" s="23" t="str">
        <x:v>https://www.uniprot.org/uniprotkb?query=%28gene_exact%3AArpc1b%29+AND+%28organism_id%3A10090%29</x:v>
      </x:c>
      <x:c r="I12" s="23" t="str">
        <x:v>https://www.ncbi.nlm.nih.gov/gene/?term=Arpc1b%5Bgene%5D%20AND%20Mus%20musculus%5Borgn%5D</x:v>
      </x:c>
      <x:c r="J12" s="23" t="str">
        <x:v>https://reactome.org/content/query?q=Arpc1b&amp;species=Mus%20musculus</x:v>
      </x:c>
      <x:c r="K12" s="23" t="str">
        <x:v>https://pubmed.ncbi.nlm.nih.gov/?term=(Arpc1b%5BTitle%2FAbstract%5D)%20AND%20(mouse%20OR%20murine)</x:v>
      </x:c>
    </x:row>
    <x:row r="13">
      <x:c r="A13" s="22" t="str">
        <x:v>Arrdc2</x:v>
      </x:c>
      <x:c r="B13" s="23" t="str">
        <x:v>ARRDC2</x:v>
      </x:c>
      <x:c r="C13" s="23" t="str">
        <x:v>Arrestin-domain trafficking; poorly characterized</x:v>
      </x:c>
      <x:c r="D13" s="23" t="str">
        <x:v>Arrestin-domain-containing protein implicated in membrane-protein trafficking/signaling; precise physiological function is incompletely established.</x:v>
      </x:c>
      <x:c r="E13" s="23" t="str">
        <x:v>Low</x:v>
      </x:c>
      <x:c r="F13" s="23" t="str">
        <x:v>MGI2020;ALLIANCE2024;UNIPROT2025;NCBIGENE2015;REACTOME2024</x:v>
      </x:c>
      <x:c r="G13" s="23" t="str">
        <x:v>https://www.informatics.jax.org/quicksearch/summary?queryType=exactPhrase&amp;query=Arrdc2</x:v>
      </x:c>
      <x:c r="H13" s="23" t="str">
        <x:v>https://www.uniprot.org/uniprotkb?query=%28gene_exact%3AArrdc2%29+AND+%28organism_id%3A10090%29</x:v>
      </x:c>
      <x:c r="I13" s="23" t="str">
        <x:v>https://www.ncbi.nlm.nih.gov/gene/?term=Arrdc2%5Bgene%5D%20AND%20Mus%20musculus%5Borgn%5D</x:v>
      </x:c>
      <x:c r="J13" s="23" t="str">
        <x:v>https://reactome.org/content/query?q=Arrdc2&amp;species=Mus%20musculus</x:v>
      </x:c>
      <x:c r="K13" s="23" t="str">
        <x:v>https://pubmed.ncbi.nlm.nih.gov/?term=(Arrdc2%5BTitle%2FAbstract%5D)%20AND%20(mouse%20OR%20murine)</x:v>
      </x:c>
    </x:row>
    <x:row r="14">
      <x:c r="A14" s="22" t="str">
        <x:v>Atf3</x:v>
      </x:c>
      <x:c r="B14" s="23" t="str">
        <x:v>ATF3</x:v>
      </x:c>
      <x:c r="C14" s="23" t="str">
        <x:v>Integrated stress response; transcription</x:v>
      </x:c>
      <x:c r="D14" s="23" t="str">
        <x:v>Stress-inducible transcription factor that rewires inflammatory, damage and survival programs in a stimulus- and cell-type-dependent manner.</x:v>
      </x:c>
      <x:c r="E14" s="23" t="str">
        <x:v>High</x:v>
      </x:c>
      <x:c r="F14" s="23" t="str">
        <x:v>MGI2020;ALLIANCE2024;UNIPROT2025;NCBIGENE2015;REACTOME2024</x:v>
      </x:c>
      <x:c r="G14" s="23" t="str">
        <x:v>https://www.informatics.jax.org/quicksearch/summary?queryType=exactPhrase&amp;query=Atf3</x:v>
      </x:c>
      <x:c r="H14" s="23" t="str">
        <x:v>https://www.uniprot.org/uniprotkb?query=%28gene_exact%3AAtf3%29+AND+%28organism_id%3A10090%29</x:v>
      </x:c>
      <x:c r="I14" s="23" t="str">
        <x:v>https://www.ncbi.nlm.nih.gov/gene/?term=Atf3%5Bgene%5D%20AND%20Mus%20musculus%5Borgn%5D</x:v>
      </x:c>
      <x:c r="J14" s="23" t="str">
        <x:v>https://reactome.org/content/query?q=Atf3&amp;species=Mus%20musculus</x:v>
      </x:c>
      <x:c r="K14" s="23" t="str">
        <x:v>https://pubmed.ncbi.nlm.nih.gov/?term=(Atf3%5BTitle%2FAbstract%5D)%20AND%20(mouse%20OR%20murine)</x:v>
      </x:c>
    </x:row>
    <x:row r="15">
      <x:c r="A15" s="22" t="str">
        <x:v>B2m</x:v>
      </x:c>
      <x:c r="B15" s="23" t="str">
        <x:v>B2M</x:v>
      </x:c>
      <x:c r="C15" s="23" t="str">
        <x:v>MHC class-I antigen presentation</x:v>
      </x:c>
      <x:c r="D15" s="23" t="str">
        <x:v>Invariant beta-2-microglobulin light chain required for surface stability of classical and many nonclassical MHC-I complexes.</x:v>
      </x:c>
      <x:c r="E15" s="23" t="str">
        <x:v>High</x:v>
      </x:c>
      <x:c r="F15" s="23" t="str">
        <x:v>MGI2020;ALLIANCE2024;UNIPROT2025;NCBIGENE2015;REACTOME2024</x:v>
      </x:c>
      <x:c r="G15" s="23" t="str">
        <x:v>https://www.informatics.jax.org/quicksearch/summary?queryType=exactPhrase&amp;query=B2m</x:v>
      </x:c>
      <x:c r="H15" s="23" t="str">
        <x:v>https://www.uniprot.org/uniprotkb?query=%28gene_exact%3AB2m%29+AND+%28organism_id%3A10090%29</x:v>
      </x:c>
      <x:c r="I15" s="23" t="str">
        <x:v>https://www.ncbi.nlm.nih.gov/gene/?term=B2m%5Bgene%5D%20AND%20Mus%20musculus%5Borgn%5D</x:v>
      </x:c>
      <x:c r="J15" s="23" t="str">
        <x:v>https://reactome.org/content/query?q=B2m&amp;species=Mus%20musculus</x:v>
      </x:c>
      <x:c r="K15" s="23" t="str">
        <x:v>https://pubmed.ncbi.nlm.nih.gov/?term=(B2m%5BTitle%2FAbstract%5D)%20AND%20(mouse%20OR%20murine)</x:v>
      </x:c>
    </x:row>
    <x:row r="16">
      <x:c r="A16" s="22" t="str">
        <x:v>Bcl2a1b</x:v>
      </x:c>
      <x:c r="B16" s="23" t="str">
        <x:v>BCL2A1</x:v>
      </x:c>
      <x:c r="C16" s="23" t="str">
        <x:v>BCL2-family survival signaling</x:v>
      </x:c>
      <x:c r="D16" s="23" t="str">
        <x:v>Mouse anti-apoptotic BCL2A1 paralog that binds pro-apoptotic BCL2-family proteins and preserves mitochondrial integrity.</x:v>
      </x:c>
      <x:c r="E16" s="23" t="str">
        <x:v>High</x:v>
      </x:c>
      <x:c r="F16" s="23" t="str">
        <x:v>MGI2020;ALLIANCE2024;UNIPROT2025;NCBIGENE2015;REACTOME2024</x:v>
      </x:c>
      <x:c r="G16" s="23" t="str">
        <x:v>https://www.informatics.jax.org/quicksearch/summary?queryType=exactPhrase&amp;query=Bcl2a1b</x:v>
      </x:c>
      <x:c r="H16" s="23" t="str">
        <x:v>https://www.uniprot.org/uniprotkb?query=%28gene_exact%3ABcl2a1b%29+AND+%28organism_id%3A10090%29</x:v>
      </x:c>
      <x:c r="I16" s="23" t="str">
        <x:v>https://www.ncbi.nlm.nih.gov/gene/?term=Bcl2a1b%5Bgene%5D%20AND%20Mus%20musculus%5Borgn%5D</x:v>
      </x:c>
      <x:c r="J16" s="23" t="str">
        <x:v>https://reactome.org/content/query?q=Bcl2a1b&amp;species=Mus%20musculus</x:v>
      </x:c>
      <x:c r="K16" s="23" t="str">
        <x:v>https://pubmed.ncbi.nlm.nih.gov/?term=(Bcl2a1b%5BTitle%2FAbstract%5D)%20AND%20(mouse%20OR%20murine)</x:v>
      </x:c>
    </x:row>
    <x:row r="17">
      <x:c r="A17" s="22" t="str">
        <x:v>C1qa</x:v>
      </x:c>
      <x:c r="B17" s="23" t="str">
        <x:v>C1QA</x:v>
      </x:c>
      <x:c r="C17" s="23" t="str">
        <x:v>Classical complement; efferocytosis</x:v>
      </x:c>
      <x:c r="D17" s="23" t="str">
        <x:v>C1q A-chain; with C1qb/C1qc forms the recognition unit of C1 and opsonizes immune complexes, pathogens and dying-cell material.</x:v>
      </x:c>
      <x:c r="E17" s="23" t="str">
        <x:v>High</x:v>
      </x:c>
      <x:c r="F17" s="23" t="str">
        <x:v>MGI2020;ALLIANCE2024;UNIPROT2025;NCBIGENE2015;REACTOME2024</x:v>
      </x:c>
      <x:c r="G17" s="23" t="str">
        <x:v>https://www.informatics.jax.org/quicksearch/summary?queryType=exactPhrase&amp;query=C1qa</x:v>
      </x:c>
      <x:c r="H17" s="23" t="str">
        <x:v>https://www.uniprot.org/uniprotkb?query=%28gene_exact%3AC1qa%29+AND+%28organism_id%3A10090%29</x:v>
      </x:c>
      <x:c r="I17" s="23" t="str">
        <x:v>https://www.ncbi.nlm.nih.gov/gene/?term=C1qa%5Bgene%5D%20AND%20Mus%20musculus%5Borgn%5D</x:v>
      </x:c>
      <x:c r="J17" s="23" t="str">
        <x:v>https://reactome.org/content/query?q=C1qa&amp;species=Mus%20musculus</x:v>
      </x:c>
      <x:c r="K17" s="23" t="str">
        <x:v>https://pubmed.ncbi.nlm.nih.gov/?term=(C1qa%5BTitle%2FAbstract%5D)%20AND%20(mouse%20OR%20murine)</x:v>
      </x:c>
    </x:row>
    <x:row r="18">
      <x:c r="A18" s="22" t="str">
        <x:v>C1qb</x:v>
      </x:c>
      <x:c r="B18" s="23" t="str">
        <x:v>C1QB</x:v>
      </x:c>
      <x:c r="C18" s="23" t="str">
        <x:v>Classical complement; efferocytosis</x:v>
      </x:c>
      <x:c r="D18" s="23" t="str">
        <x:v>C1q B-chain; structural component of the C1q recognition complex involved in complement activation and apoptotic-cell clearance.</x:v>
      </x:c>
      <x:c r="E18" s="23" t="str">
        <x:v>High</x:v>
      </x:c>
      <x:c r="F18" s="23" t="str">
        <x:v>MGI2020;ALLIANCE2024;UNIPROT2025;NCBIGENE2015;REACTOME2024</x:v>
      </x:c>
      <x:c r="G18" s="23" t="str">
        <x:v>https://www.informatics.jax.org/quicksearch/summary?queryType=exactPhrase&amp;query=C1qb</x:v>
      </x:c>
      <x:c r="H18" s="23" t="str">
        <x:v>https://www.uniprot.org/uniprotkb?query=%28gene_exact%3AC1qb%29+AND+%28organism_id%3A10090%29</x:v>
      </x:c>
      <x:c r="I18" s="23" t="str">
        <x:v>https://www.ncbi.nlm.nih.gov/gene/?term=C1qb%5Bgene%5D%20AND%20Mus%20musculus%5Borgn%5D</x:v>
      </x:c>
      <x:c r="J18" s="23" t="str">
        <x:v>https://reactome.org/content/query?q=C1qb&amp;species=Mus%20musculus</x:v>
      </x:c>
      <x:c r="K18" s="23" t="str">
        <x:v>https://pubmed.ncbi.nlm.nih.gov/?term=(C1qb%5BTitle%2FAbstract%5D)%20AND%20(mouse%20OR%20murine)</x:v>
      </x:c>
    </x:row>
    <x:row r="19">
      <x:c r="A19" s="22" t="str">
        <x:v>C1qc</x:v>
      </x:c>
      <x:c r="B19" s="23" t="str">
        <x:v>C1QC</x:v>
      </x:c>
      <x:c r="C19" s="23" t="str">
        <x:v>Classical complement; efferocytosis</x:v>
      </x:c>
      <x:c r="D19" s="23" t="str">
        <x:v>C1q C-chain; structural component of the C1q recognition complex involved in complement activation and apoptotic-cell clearance.</x:v>
      </x:c>
      <x:c r="E19" s="23" t="str">
        <x:v>High</x:v>
      </x:c>
      <x:c r="F19" s="23" t="str">
        <x:v>MGI2020;ALLIANCE2024;UNIPROT2025;NCBIGENE2015;REACTOME2024</x:v>
      </x:c>
      <x:c r="G19" s="23" t="str">
        <x:v>https://www.informatics.jax.org/quicksearch/summary?queryType=exactPhrase&amp;query=C1qc</x:v>
      </x:c>
      <x:c r="H19" s="23" t="str">
        <x:v>https://www.uniprot.org/uniprotkb?query=%28gene_exact%3AC1qc%29+AND+%28organism_id%3A10090%29</x:v>
      </x:c>
      <x:c r="I19" s="23" t="str">
        <x:v>https://www.ncbi.nlm.nih.gov/gene/?term=C1qc%5Bgene%5D%20AND%20Mus%20musculus%5Borgn%5D</x:v>
      </x:c>
      <x:c r="J19" s="23" t="str">
        <x:v>https://reactome.org/content/query?q=C1qc&amp;species=Mus%20musculus</x:v>
      </x:c>
      <x:c r="K19" s="23" t="str">
        <x:v>https://pubmed.ncbi.nlm.nih.gov/?term=(C1qc%5BTitle%2FAbstract%5D)%20AND%20(mouse%20OR%20murine)</x:v>
      </x:c>
    </x:row>
    <x:row r="20">
      <x:c r="A20" s="22" t="str">
        <x:v>C3</x:v>
      </x:c>
      <x:c r="B20" s="23" t="str">
        <x:v>C3</x:v>
      </x:c>
      <x:c r="C20" s="23" t="str">
        <x:v>Complement cascade; opsonization and inflammation</x:v>
      </x:c>
      <x:c r="D20" s="23" t="str">
        <x:v>Central complement component cleaved to C3a and C3b, enabling anaphylatoxin signaling, opsonization and terminal complement activation.</x:v>
      </x:c>
      <x:c r="E20" s="23" t="str">
        <x:v>High</x:v>
      </x:c>
      <x:c r="F20" s="23" t="str">
        <x:v>MGI2020;ALLIANCE2024;UNIPROT2025;NCBIGENE2015;REACTOME2024</x:v>
      </x:c>
      <x:c r="G20" s="23" t="str">
        <x:v>https://www.informatics.jax.org/quicksearch/summary?queryType=exactPhrase&amp;query=C3</x:v>
      </x:c>
      <x:c r="H20" s="23" t="str">
        <x:v>https://www.uniprot.org/uniprotkb?query=%28gene_exact%3AC3%29+AND+%28organism_id%3A10090%29</x:v>
      </x:c>
      <x:c r="I20" s="23" t="str">
        <x:v>https://www.ncbi.nlm.nih.gov/gene/?term=C3%5Bgene%5D%20AND%20Mus%20musculus%5Borgn%5D</x:v>
      </x:c>
      <x:c r="J20" s="23" t="str">
        <x:v>https://reactome.org/content/query?q=C3&amp;species=Mus%20musculus</x:v>
      </x:c>
      <x:c r="K20" s="23" t="str">
        <x:v>https://pubmed.ncbi.nlm.nih.gov/?term=(C3%5BTitle%2FAbstract%5D)%20AND%20(mouse%20OR%20murine)</x:v>
      </x:c>
    </x:row>
    <x:row r="21">
      <x:c r="A21" s="22" t="str">
        <x:v>Cadm1</x:v>
      </x:c>
      <x:c r="B21" s="23" t="str">
        <x:v>CADM1</x:v>
      </x:c>
      <x:c r="C21" s="23" t="str">
        <x:v>Cell adhesion; immune/neural interactions</x:v>
      </x:c>
      <x:c r="D21" s="23" t="str">
        <x:v>Immunoglobulin-superfamily adhesion molecule supporting cell-cell contacts, polarity and context-dependent immune or neural interactions.</x:v>
      </x:c>
      <x:c r="E21" s="23" t="str">
        <x:v>High</x:v>
      </x:c>
      <x:c r="F21" s="23" t="str">
        <x:v>MGI2020;ALLIANCE2024;UNIPROT2025;NCBIGENE2015;REACTOME2024</x:v>
      </x:c>
      <x:c r="G21" s="23" t="str">
        <x:v>https://www.informatics.jax.org/quicksearch/summary?queryType=exactPhrase&amp;query=Cadm1</x:v>
      </x:c>
      <x:c r="H21" s="23" t="str">
        <x:v>https://www.uniprot.org/uniprotkb?query=%28gene_exact%3ACadm1%29+AND+%28organism_id%3A10090%29</x:v>
      </x:c>
      <x:c r="I21" s="23" t="str">
        <x:v>https://www.ncbi.nlm.nih.gov/gene/?term=Cadm1%5Bgene%5D%20AND%20Mus%20musculus%5Borgn%5D</x:v>
      </x:c>
      <x:c r="J21" s="23" t="str">
        <x:v>https://reactome.org/content/query?q=Cadm1&amp;species=Mus%20musculus</x:v>
      </x:c>
      <x:c r="K21" s="23" t="str">
        <x:v>https://pubmed.ncbi.nlm.nih.gov/?term=(Cadm1%5BTitle%2FAbstract%5D)%20AND%20(mouse%20OR%20murine)</x:v>
      </x:c>
    </x:row>
    <x:row r="22">
      <x:c r="A22" s="22" t="str">
        <x:v>Calr</x:v>
      </x:c>
      <x:c r="B22" s="23" t="str">
        <x:v>CALR</x:v>
      </x:c>
      <x:c r="C22" s="23" t="str">
        <x:v>ER proteostasis; calcium homeostasis; immunogenic-cell recognition</x:v>
      </x:c>
      <x:c r="D22" s="23" t="str">
        <x:v>ER lectin chaperone that supports glycoprotein folding and calcium storage; surface-exposed CALR can signal phagocytic uptake of stressed/dying cells.</x:v>
      </x:c>
      <x:c r="E22" s="23" t="str">
        <x:v>High</x:v>
      </x:c>
      <x:c r="F22" s="23" t="str">
        <x:v>MGI2020;ALLIANCE2024;UNIPROT2025;NCBIGENE2015;REACTOME2024</x:v>
      </x:c>
      <x:c r="G22" s="23" t="str">
        <x:v>https://www.informatics.jax.org/quicksearch/summary?queryType=exactPhrase&amp;query=Calr</x:v>
      </x:c>
      <x:c r="H22" s="23" t="str">
        <x:v>https://www.uniprot.org/uniprotkb?query=%28gene_exact%3ACalr%29+AND+%28organism_id%3A10090%29</x:v>
      </x:c>
      <x:c r="I22" s="23" t="str">
        <x:v>https://www.ncbi.nlm.nih.gov/gene/?term=Calr%5Bgene%5D%20AND%20Mus%20musculus%5Borgn%5D</x:v>
      </x:c>
      <x:c r="J22" s="23" t="str">
        <x:v>https://reactome.org/content/query?q=Calr&amp;species=Mus%20musculus</x:v>
      </x:c>
      <x:c r="K22" s="23" t="str">
        <x:v>https://pubmed.ncbi.nlm.nih.gov/?term=(Calr%5BTitle%2FAbstract%5D)%20AND%20(mouse%20OR%20murine)</x:v>
      </x:c>
    </x:row>
    <x:row r="23">
      <x:c r="A23" s="22" t="str">
        <x:v>Camp</x:v>
      </x:c>
      <x:c r="B23" s="23" t="str">
        <x:v>CAMP</x:v>
      </x:c>
      <x:c r="C23" s="23" t="str">
        <x:v>Antimicrobial defense; innate immune modulation</x:v>
      </x:c>
      <x:c r="D23" s="23" t="str">
        <x:v>Cathelicidin precursor yielding a cationic antimicrobial peptide that disrupts microbial membranes and modulates chemotaxis/inflammation.</x:v>
      </x:c>
      <x:c r="E23" s="23" t="str">
        <x:v>High</x:v>
      </x:c>
      <x:c r="F23" s="23" t="str">
        <x:v>MGI2020;ALLIANCE2024;UNIPROT2025;NCBIGENE2015;REACTOME2024</x:v>
      </x:c>
      <x:c r="G23" s="23" t="str">
        <x:v>https://www.informatics.jax.org/quicksearch/summary?queryType=exactPhrase&amp;query=Camp</x:v>
      </x:c>
      <x:c r="H23" s="23" t="str">
        <x:v>https://www.uniprot.org/uniprotkb?query=%28gene_exact%3ACamp%29+AND+%28organism_id%3A10090%29</x:v>
      </x:c>
      <x:c r="I23" s="23" t="str">
        <x:v>https://www.ncbi.nlm.nih.gov/gene/?term=Camp%5Bgene%5D%20AND%20Mus%20musculus%5Borgn%5D</x:v>
      </x:c>
      <x:c r="J23" s="23" t="str">
        <x:v>https://reactome.org/content/query?q=Camp&amp;species=Mus%20musculus</x:v>
      </x:c>
      <x:c r="K23" s="23" t="str">
        <x:v>https://pubmed.ncbi.nlm.nih.gov/?term=(Camp%5BTitle%2FAbstract%5D)%20AND%20(mouse%20OR%20murine)</x:v>
      </x:c>
    </x:row>
    <x:row r="24">
      <x:c r="A24" s="22" t="str">
        <x:v>Capn3</x:v>
      </x:c>
      <x:c r="B24" s="23" t="str">
        <x:v>CAPN3</x:v>
      </x:c>
      <x:c r="C24" s="23" t="str">
        <x:v>Calcium-dependent proteolysis; muscle homeostasis</x:v>
      </x:c>
      <x:c r="D24" s="23" t="str">
        <x:v>Muscle-enriched calcium-dependent cysteine protease involved in sarcomeric remodeling and protein turnover; expression outside muscle requires caution.</x:v>
      </x:c>
      <x:c r="E24" s="23" t="str">
        <x:v>High</x:v>
      </x:c>
      <x:c r="F24" s="23" t="str">
        <x:v>MGI2020;ALLIANCE2024;UNIPROT2025;NCBIGENE2015;REACTOME2024</x:v>
      </x:c>
      <x:c r="G24" s="23" t="str">
        <x:v>https://www.informatics.jax.org/quicksearch/summary?queryType=exactPhrase&amp;query=Capn3</x:v>
      </x:c>
      <x:c r="H24" s="23" t="str">
        <x:v>https://www.uniprot.org/uniprotkb?query=%28gene_exact%3ACapn3%29+AND+%28organism_id%3A10090%29</x:v>
      </x:c>
      <x:c r="I24" s="23" t="str">
        <x:v>https://www.ncbi.nlm.nih.gov/gene/?term=Capn3%5Bgene%5D%20AND%20Mus%20musculus%5Borgn%5D</x:v>
      </x:c>
      <x:c r="J24" s="23" t="str">
        <x:v>https://reactome.org/content/query?q=Capn3&amp;species=Mus%20musculus</x:v>
      </x:c>
      <x:c r="K24" s="23" t="str">
        <x:v>https://pubmed.ncbi.nlm.nih.gov/?term=(Capn3%5BTitle%2FAbstract%5D)%20AND%20(mouse%20OR%20murine)</x:v>
      </x:c>
    </x:row>
    <x:row r="25">
      <x:c r="A25" s="22" t="str">
        <x:v>Ccl12</x:v>
      </x:c>
      <x:c r="B25" s="23" t="str">
        <x:v>CCL2 (among complex chemokine-family orthologs)</x:v>
      </x:c>
      <x:c r="C25" s="23" t="str">
        <x:v>Chemokine signaling; monocyte/eosinophil recruitment</x:v>
      </x:c>
      <x:c r="D25" s="23" t="str">
        <x:v>Mouse MCP-5 chemokine, chiefly acting through CCR2 to recruit monocytes and other leukocytes in inflammatory settings.</x:v>
      </x:c>
      <x:c r="E25" s="23" t="str">
        <x:v>High</x:v>
      </x:c>
      <x:c r="F25" s="23" t="str">
        <x:v>MGI2020;ALLIANCE2024;UNIPROT2025;NCBIGENE2015;REACTOME2024</x:v>
      </x:c>
      <x:c r="G25" s="23" t="str">
        <x:v>https://www.informatics.jax.org/quicksearch/summary?queryType=exactPhrase&amp;query=Ccl12</x:v>
      </x:c>
      <x:c r="H25" s="23" t="str">
        <x:v>https://www.uniprot.org/uniprotkb?query=%28gene_exact%3ACcl12%29+AND+%28organism_id%3A10090%29</x:v>
      </x:c>
      <x:c r="I25" s="23" t="str">
        <x:v>https://www.ncbi.nlm.nih.gov/gene/?term=Ccl12%5Bgene%5D%20AND%20Mus%20musculus%5Borgn%5D</x:v>
      </x:c>
      <x:c r="J25" s="23" t="str">
        <x:v>https://reactome.org/content/query?q=Ccl12&amp;species=Mus%20musculus</x:v>
      </x:c>
      <x:c r="K25" s="23" t="str">
        <x:v>https://pubmed.ncbi.nlm.nih.gov/?term=(Ccl12%5BTitle%2FAbstract%5D)%20AND%20(mouse%20OR%20murine)</x:v>
      </x:c>
    </x:row>
    <x:row r="26">
      <x:c r="A26" s="22" t="str">
        <x:v>Ccl2</x:v>
      </x:c>
      <x:c r="B26" s="23" t="str">
        <x:v>CCL2</x:v>
      </x:c>
      <x:c r="C26" s="23" t="str">
        <x:v>Chemokine signaling; monocyte recruitment</x:v>
      </x:c>
      <x:c r="D26" s="23" t="str">
        <x:v>CCR2 ligand that recruits monocytes and shapes inflammatory-cell trafficking and tissue infiltration.</x:v>
      </x:c>
      <x:c r="E26" s="23" t="str">
        <x:v>High</x:v>
      </x:c>
      <x:c r="F26" s="23" t="str">
        <x:v>MGI2020;ALLIANCE2024;UNIPROT2025;NCBIGENE2015;REACTOME2024</x:v>
      </x:c>
      <x:c r="G26" s="23" t="str">
        <x:v>https://www.informatics.jax.org/quicksearch/summary?queryType=exactPhrase&amp;query=Ccl2</x:v>
      </x:c>
      <x:c r="H26" s="23" t="str">
        <x:v>https://www.uniprot.org/uniprotkb?query=%28gene_exact%3ACcl2%29+AND+%28organism_id%3A10090%29</x:v>
      </x:c>
      <x:c r="I26" s="23" t="str">
        <x:v>https://www.ncbi.nlm.nih.gov/gene/?term=Ccl2%5Bgene%5D%20AND%20Mus%20musculus%5Borgn%5D</x:v>
      </x:c>
      <x:c r="J26" s="23" t="str">
        <x:v>https://reactome.org/content/query?q=Ccl2&amp;species=Mus%20musculus</x:v>
      </x:c>
      <x:c r="K26" s="23" t="str">
        <x:v>https://pubmed.ncbi.nlm.nih.gov/?term=(Ccl2%5BTitle%2FAbstract%5D)%20AND%20(mouse%20OR%20murine)</x:v>
      </x:c>
    </x:row>
    <x:row r="27">
      <x:c r="A27" s="22" t="str">
        <x:v>Ccr5</x:v>
      </x:c>
      <x:c r="B27" s="23" t="str">
        <x:v>CCR5</x:v>
      </x:c>
      <x:c r="C27" s="23" t="str">
        <x:v>Chemokine-receptor signaling; leukocyte trafficking</x:v>
      </x:c>
      <x:c r="D27" s="23" t="str">
        <x:v>GPCR for CCL3/4/5-family chemokines that directs leukocyte migration and also serves as an HIV-1 co-receptor in humans.</x:v>
      </x:c>
      <x:c r="E27" s="23" t="str">
        <x:v>High</x:v>
      </x:c>
      <x:c r="F27" s="23" t="str">
        <x:v>MGI2020;ALLIANCE2024;UNIPROT2025;NCBIGENE2015;REACTOME2024</x:v>
      </x:c>
      <x:c r="G27" s="23" t="str">
        <x:v>https://www.informatics.jax.org/quicksearch/summary?queryType=exactPhrase&amp;query=Ccr5</x:v>
      </x:c>
      <x:c r="H27" s="23" t="str">
        <x:v>https://www.uniprot.org/uniprotkb?query=%28gene_exact%3ACcr5%29+AND+%28organism_id%3A10090%29</x:v>
      </x:c>
      <x:c r="I27" s="23" t="str">
        <x:v>https://www.ncbi.nlm.nih.gov/gene/?term=Ccr5%5Bgene%5D%20AND%20Mus%20musculus%5Borgn%5D</x:v>
      </x:c>
      <x:c r="J27" s="23" t="str">
        <x:v>https://reactome.org/content/query?q=Ccr5&amp;species=Mus%20musculus</x:v>
      </x:c>
      <x:c r="K27" s="23" t="str">
        <x:v>https://pubmed.ncbi.nlm.nih.gov/?term=(Ccr5%5BTitle%2FAbstract%5D)%20AND%20(mouse%20OR%20murine)</x:v>
      </x:c>
    </x:row>
    <x:row r="28">
      <x:c r="A28" s="22" t="str">
        <x:v>Ccrl2</x:v>
      </x:c>
      <x:c r="B28" s="23" t="str">
        <x:v>CCRL2</x:v>
      </x:c>
      <x:c r="C28" s="23" t="str">
        <x:v>Atypical chemokine-receptor biology</x:v>
      </x:c>
      <x:c r="D28" s="23" t="str">
        <x:v>Noncanonical chemokine receptor/scavenger-like surface protein that presents chemerin and modulates leukocyte positioning without classical G-protein signaling.</x:v>
      </x:c>
      <x:c r="E28" s="23" t="str">
        <x:v>Moderate</x:v>
      </x:c>
      <x:c r="F28" s="23" t="str">
        <x:v>MGI2020;ALLIANCE2024;UNIPROT2025;NCBIGENE2015;REACTOME2024</x:v>
      </x:c>
      <x:c r="G28" s="23" t="str">
        <x:v>https://www.informatics.jax.org/quicksearch/summary?queryType=exactPhrase&amp;query=Ccrl2</x:v>
      </x:c>
      <x:c r="H28" s="23" t="str">
        <x:v>https://www.uniprot.org/uniprotkb?query=%28gene_exact%3ACcrl2%29+AND+%28organism_id%3A10090%29</x:v>
      </x:c>
      <x:c r="I28" s="23" t="str">
        <x:v>https://www.ncbi.nlm.nih.gov/gene/?term=Ccrl2%5Bgene%5D%20AND%20Mus%20musculus%5Borgn%5D</x:v>
      </x:c>
      <x:c r="J28" s="23" t="str">
        <x:v>https://reactome.org/content/query?q=Ccrl2&amp;species=Mus%20musculus</x:v>
      </x:c>
      <x:c r="K28" s="23" t="str">
        <x:v>https://pubmed.ncbi.nlm.nih.gov/?term=(Ccrl2%5BTitle%2FAbstract%5D)%20AND%20(mouse%20OR%20murine)</x:v>
      </x:c>
    </x:row>
    <x:row r="29">
      <x:c r="A29" s="22" t="str">
        <x:v>Cd14</x:v>
      </x:c>
      <x:c r="B29" s="23" t="str">
        <x:v>CD14</x:v>
      </x:c>
      <x:c r="C29" s="23" t="str">
        <x:v>Pattern recognition; LPS sensing</x:v>
      </x:c>
      <x:c r="D29" s="23" t="str">
        <x:v>GPI-anchored or soluble co-receptor that transfers bacterial LPS and other ligands to TLR4/MD2 and facilitates innate immune activation.</x:v>
      </x:c>
      <x:c r="E29" s="23" t="str">
        <x:v>High</x:v>
      </x:c>
      <x:c r="F29" s="23" t="str">
        <x:v>MGI2020;ALLIANCE2024;UNIPROT2025;NCBIGENE2015;REACTOME2024</x:v>
      </x:c>
      <x:c r="G29" s="23" t="str">
        <x:v>https://www.informatics.jax.org/quicksearch/summary?queryType=exactPhrase&amp;query=Cd14</x:v>
      </x:c>
      <x:c r="H29" s="23" t="str">
        <x:v>https://www.uniprot.org/uniprotkb?query=%28gene_exact%3ACd14%29+AND+%28organism_id%3A10090%29</x:v>
      </x:c>
      <x:c r="I29" s="23" t="str">
        <x:v>https://www.ncbi.nlm.nih.gov/gene/?term=Cd14%5Bgene%5D%20AND%20Mus%20musculus%5Borgn%5D</x:v>
      </x:c>
      <x:c r="J29" s="23" t="str">
        <x:v>https://reactome.org/content/query?q=Cd14&amp;species=Mus%20musculus</x:v>
      </x:c>
      <x:c r="K29" s="23" t="str">
        <x:v>https://pubmed.ncbi.nlm.nih.gov/?term=(Cd14%5BTitle%2FAbstract%5D)%20AND%20(mouse%20OR%20murine)</x:v>
      </x:c>
    </x:row>
    <x:row r="30">
      <x:c r="A30" s="22" t="str">
        <x:v>Cd177</x:v>
      </x:c>
      <x:c r="B30" s="23" t="str">
        <x:v>CD177</x:v>
      </x:c>
      <x:c r="C30" s="23" t="str">
        <x:v>Neutrophil adhesion and activation</x:v>
      </x:c>
      <x:c r="D30" s="23" t="str">
        <x:v>GPI-anchored neutrophil glycoprotein that interacts with endothelial PECAM1 and marks a neutrophil subset with altered adhesion/transmigration.</x:v>
      </x:c>
      <x:c r="E30" s="23" t="str">
        <x:v>High</x:v>
      </x:c>
      <x:c r="F30" s="23" t="str">
        <x:v>MGI2020;ALLIANCE2024;UNIPROT2025;NCBIGENE2015;REACTOME2024</x:v>
      </x:c>
      <x:c r="G30" s="23" t="str">
        <x:v>https://www.informatics.jax.org/quicksearch/summary?queryType=exactPhrase&amp;query=Cd177</x:v>
      </x:c>
      <x:c r="H30" s="23" t="str">
        <x:v>https://www.uniprot.org/uniprotkb?query=%28gene_exact%3ACd177%29+AND+%28organism_id%3A10090%29</x:v>
      </x:c>
      <x:c r="I30" s="23" t="str">
        <x:v>https://www.ncbi.nlm.nih.gov/gene/?term=Cd177%5Bgene%5D%20AND%20Mus%20musculus%5Borgn%5D</x:v>
      </x:c>
      <x:c r="J30" s="23" t="str">
        <x:v>https://reactome.org/content/query?q=Cd177&amp;species=Mus%20musculus</x:v>
      </x:c>
      <x:c r="K30" s="23" t="str">
        <x:v>https://pubmed.ncbi.nlm.nih.gov/?term=(Cd177%5BTitle%2FAbstract%5D)%20AND%20(mouse%20OR%20murine)</x:v>
      </x:c>
    </x:row>
    <x:row r="31">
      <x:c r="A31" s="22" t="str">
        <x:v>Cd180</x:v>
      </x:c>
      <x:c r="B31" s="23" t="str">
        <x:v>CD180</x:v>
      </x:c>
      <x:c r="C31" s="23" t="str">
        <x:v>B-cell/myeloid pattern-receptor signaling</x:v>
      </x:c>
      <x:c r="D31" s="23" t="str">
        <x:v>TLR-like surface receptor (RP105) that complexes with MD-1 and modulates B-cell and myeloid responses to microbial ligands.</x:v>
      </x:c>
      <x:c r="E31" s="23" t="str">
        <x:v>High</x:v>
      </x:c>
      <x:c r="F31" s="23" t="str">
        <x:v>MGI2020;ALLIANCE2024;UNIPROT2025;NCBIGENE2015;REACTOME2024</x:v>
      </x:c>
      <x:c r="G31" s="23" t="str">
        <x:v>https://www.informatics.jax.org/quicksearch/summary?queryType=exactPhrase&amp;query=Cd180</x:v>
      </x:c>
      <x:c r="H31" s="23" t="str">
        <x:v>https://www.uniprot.org/uniprotkb?query=%28gene_exact%3ACd180%29+AND+%28organism_id%3A10090%29</x:v>
      </x:c>
      <x:c r="I31" s="23" t="str">
        <x:v>https://www.ncbi.nlm.nih.gov/gene/?term=Cd180%5Bgene%5D%20AND%20Mus%20musculus%5Borgn%5D</x:v>
      </x:c>
      <x:c r="J31" s="23" t="str">
        <x:v>https://reactome.org/content/query?q=Cd180&amp;species=Mus%20musculus</x:v>
      </x:c>
      <x:c r="K31" s="23" t="str">
        <x:v>https://pubmed.ncbi.nlm.nih.gov/?term=(Cd180%5BTitle%2FAbstract%5D)%20AND%20(mouse%20OR%20murine)</x:v>
      </x:c>
    </x:row>
    <x:row r="32">
      <x:c r="A32" s="22" t="str">
        <x:v>Cd33</x:v>
      </x:c>
      <x:c r="B32" s="23" t="str">
        <x:v>CD33</x:v>
      </x:c>
      <x:c r="C32" s="23" t="str">
        <x:v>Inhibitory Siglec signaling</x:v>
      </x:c>
      <x:c r="D32" s="23" t="str">
        <x:v>Sialic-acid-binding inhibitory receptor on myeloid cells that recruits phosphatases through an ITIM-like cytoplasmic motif.</x:v>
      </x:c>
      <x:c r="E32" s="23" t="str">
        <x:v>High</x:v>
      </x:c>
      <x:c r="F32" s="23" t="str">
        <x:v>MGI2020;ALLIANCE2024;UNIPROT2025;NCBIGENE2015;REACTOME2024</x:v>
      </x:c>
      <x:c r="G32" s="23" t="str">
        <x:v>https://www.informatics.jax.org/quicksearch/summary?queryType=exactPhrase&amp;query=Cd33</x:v>
      </x:c>
      <x:c r="H32" s="23" t="str">
        <x:v>https://www.uniprot.org/uniprotkb?query=%28gene_exact%3ACd33%29+AND+%28organism_id%3A10090%29</x:v>
      </x:c>
      <x:c r="I32" s="23" t="str">
        <x:v>https://www.ncbi.nlm.nih.gov/gene/?term=Cd33%5Bgene%5D%20AND%20Mus%20musculus%5Borgn%5D</x:v>
      </x:c>
      <x:c r="J32" s="23" t="str">
        <x:v>https://reactome.org/content/query?q=Cd33&amp;species=Mus%20musculus</x:v>
      </x:c>
      <x:c r="K32" s="23" t="str">
        <x:v>https://pubmed.ncbi.nlm.nih.gov/?term=(Cd33%5BTitle%2FAbstract%5D)%20AND%20(mouse%20OR%20murine)</x:v>
      </x:c>
    </x:row>
    <x:row r="33">
      <x:c r="A33" s="22" t="str">
        <x:v>Cd52</x:v>
      </x:c>
      <x:c r="B33" s="23" t="str">
        <x:v>CD52</x:v>
      </x:c>
      <x:c r="C33" s="23" t="str">
        <x:v>Lymphoid/myeloid surface antigen</x:v>
      </x:c>
      <x:c r="D33" s="23" t="str">
        <x:v>Small GPI-anchored glycoprotein abundant on leukocytes; antibody ligation causes immune-cell depletion, while endogenous signaling remains incompletely defined.</x:v>
      </x:c>
      <x:c r="E33" s="23" t="str">
        <x:v>Moderate</x:v>
      </x:c>
      <x:c r="F33" s="23" t="str">
        <x:v>MGI2020;ALLIANCE2024;UNIPROT2025;NCBIGENE2015;REACTOME2024</x:v>
      </x:c>
      <x:c r="G33" s="23" t="str">
        <x:v>https://www.informatics.jax.org/quicksearch/summary?queryType=exactPhrase&amp;query=Cd52</x:v>
      </x:c>
      <x:c r="H33" s="23" t="str">
        <x:v>https://www.uniprot.org/uniprotkb?query=%28gene_exact%3ACd52%29+AND+%28organism_id%3A10090%29</x:v>
      </x:c>
      <x:c r="I33" s="23" t="str">
        <x:v>https://www.ncbi.nlm.nih.gov/gene/?term=Cd52%5Bgene%5D%20AND%20Mus%20musculus%5Borgn%5D</x:v>
      </x:c>
      <x:c r="J33" s="23" t="str">
        <x:v>https://reactome.org/content/query?q=Cd52&amp;species=Mus%20musculus</x:v>
      </x:c>
      <x:c r="K33" s="23" t="str">
        <x:v>https://pubmed.ncbi.nlm.nih.gov/?term=(Cd52%5BTitle%2FAbstract%5D)%20AND%20(mouse%20OR%20murine)</x:v>
      </x:c>
    </x:row>
    <x:row r="34">
      <x:c r="A34" s="22" t="str">
        <x:v>Cd68</x:v>
      </x:c>
      <x:c r="B34" s="23" t="str">
        <x:v>CD68</x:v>
      </x:c>
      <x:c r="C34" s="23" t="str">
        <x:v>Lysosome/endosome biology; macrophage marker</x:v>
      </x:c>
      <x:c r="D34" s="23" t="str">
        <x:v>Heavily glycosylated lysosomal/endosomal membrane protein enriched in macrophages and phagocytic cells; functional role is less specific than its marker use.</x:v>
      </x:c>
      <x:c r="E34" s="23" t="str">
        <x:v>Moderate</x:v>
      </x:c>
      <x:c r="F34" s="23" t="str">
        <x:v>MGI2020;ALLIANCE2024;UNIPROT2025;NCBIGENE2015;REACTOME2024</x:v>
      </x:c>
      <x:c r="G34" s="23" t="str">
        <x:v>https://www.informatics.jax.org/quicksearch/summary?queryType=exactPhrase&amp;query=Cd68</x:v>
      </x:c>
      <x:c r="H34" s="23" t="str">
        <x:v>https://www.uniprot.org/uniprotkb?query=%28gene_exact%3ACd68%29+AND+%28organism_id%3A10090%29</x:v>
      </x:c>
      <x:c r="I34" s="23" t="str">
        <x:v>https://www.ncbi.nlm.nih.gov/gene/?term=Cd68%5Bgene%5D%20AND%20Mus%20musculus%5Borgn%5D</x:v>
      </x:c>
      <x:c r="J34" s="23" t="str">
        <x:v>https://reactome.org/content/query?q=Cd68&amp;species=Mus%20musculus</x:v>
      </x:c>
      <x:c r="K34" s="23" t="str">
        <x:v>https://pubmed.ncbi.nlm.nih.gov/?term=(Cd68%5BTitle%2FAbstract%5D)%20AND%20(mouse%20OR%20murine)</x:v>
      </x:c>
    </x:row>
    <x:row r="35">
      <x:c r="A35" s="22" t="str">
        <x:v>Cd72</x:v>
      </x:c>
      <x:c r="B35" s="23" t="str">
        <x:v>CD72</x:v>
      </x:c>
      <x:c r="C35" s="23" t="str">
        <x:v>B-cell co-receptor signaling</x:v>
      </x:c>
      <x:c r="D35" s="23" t="str">
        <x:v>Type-II membrane C-type lectin-like receptor that negatively or positively tunes B-cell receptor signaling depending on ligand/context.</x:v>
      </x:c>
      <x:c r="E35" s="23" t="str">
        <x:v>High</x:v>
      </x:c>
      <x:c r="F35" s="23" t="str">
        <x:v>MGI2020;ALLIANCE2024;UNIPROT2025;NCBIGENE2015;REACTOME2024</x:v>
      </x:c>
      <x:c r="G35" s="23" t="str">
        <x:v>https://www.informatics.jax.org/quicksearch/summary?queryType=exactPhrase&amp;query=Cd72</x:v>
      </x:c>
      <x:c r="H35" s="23" t="str">
        <x:v>https://www.uniprot.org/uniprotkb?query=%28gene_exact%3ACd72%29+AND+%28organism_id%3A10090%29</x:v>
      </x:c>
      <x:c r="I35" s="23" t="str">
        <x:v>https://www.ncbi.nlm.nih.gov/gene/?term=Cd72%5Bgene%5D%20AND%20Mus%20musculus%5Borgn%5D</x:v>
      </x:c>
      <x:c r="J35" s="23" t="str">
        <x:v>https://reactome.org/content/query?q=Cd72&amp;species=Mus%20musculus</x:v>
      </x:c>
      <x:c r="K35" s="23" t="str">
        <x:v>https://pubmed.ncbi.nlm.nih.gov/?term=(Cd72%5BTitle%2FAbstract%5D)%20AND%20(mouse%20OR%20murine)</x:v>
      </x:c>
    </x:row>
    <x:row r="36">
      <x:c r="A36" s="22" t="str">
        <x:v>Cd74</x:v>
      </x:c>
      <x:c r="B36" s="23" t="str">
        <x:v>CD74</x:v>
      </x:c>
      <x:c r="C36" s="23" t="str">
        <x:v>MHC-II antigen processing; MIF signaling</x:v>
      </x:c>
      <x:c r="D36" s="23" t="str">
        <x:v>Invariant chain that chaperones MHC-II to endolysosomes and is processed to permit peptide loading; also functions as a MIF receptor component.</x:v>
      </x:c>
      <x:c r="E36" s="23" t="str">
        <x:v>High</x:v>
      </x:c>
      <x:c r="F36" s="23" t="str">
        <x:v>MGI2020;ALLIANCE2024;UNIPROT2025;NCBIGENE2015;REACTOME2024</x:v>
      </x:c>
      <x:c r="G36" s="23" t="str">
        <x:v>https://www.informatics.jax.org/quicksearch/summary?queryType=exactPhrase&amp;query=Cd74</x:v>
      </x:c>
      <x:c r="H36" s="23" t="str">
        <x:v>https://www.uniprot.org/uniprotkb?query=%28gene_exact%3ACd74%29+AND+%28organism_id%3A10090%29</x:v>
      </x:c>
      <x:c r="I36" s="23" t="str">
        <x:v>https://www.ncbi.nlm.nih.gov/gene/?term=Cd74%5Bgene%5D%20AND%20Mus%20musculus%5Borgn%5D</x:v>
      </x:c>
      <x:c r="J36" s="23" t="str">
        <x:v>https://reactome.org/content/query?q=Cd74&amp;species=Mus%20musculus</x:v>
      </x:c>
      <x:c r="K36" s="23" t="str">
        <x:v>https://pubmed.ncbi.nlm.nih.gov/?term=(Cd74%5BTitle%2FAbstract%5D)%20AND%20(mouse%20OR%20murine)</x:v>
      </x:c>
    </x:row>
    <x:row r="37">
      <x:c r="A37" s="22" t="str">
        <x:v>Cd84</x:v>
      </x:c>
      <x:c r="B37" s="23" t="str">
        <x:v>CD84</x:v>
      </x:c>
      <x:c r="C37" s="23" t="str">
        <x:v>SLAM-family adhesion and immune signaling</x:v>
      </x:c>
      <x:c r="D37" s="23" t="str">
        <x:v>Homophilic SLAM-family receptor regulating leukocyte adhesion and activation through adaptor-dependent signaling.</x:v>
      </x:c>
      <x:c r="E37" s="23" t="str">
        <x:v>Moderate</x:v>
      </x:c>
      <x:c r="F37" s="23" t="str">
        <x:v>MGI2020;ALLIANCE2024;UNIPROT2025;NCBIGENE2015;REACTOME2024</x:v>
      </x:c>
      <x:c r="G37" s="23" t="str">
        <x:v>https://www.informatics.jax.org/quicksearch/summary?queryType=exactPhrase&amp;query=Cd84</x:v>
      </x:c>
      <x:c r="H37" s="23" t="str">
        <x:v>https://www.uniprot.org/uniprotkb?query=%28gene_exact%3ACd84%29+AND+%28organism_id%3A10090%29</x:v>
      </x:c>
      <x:c r="I37" s="23" t="str">
        <x:v>https://www.ncbi.nlm.nih.gov/gene/?term=Cd84%5Bgene%5D%20AND%20Mus%20musculus%5Borgn%5D</x:v>
      </x:c>
      <x:c r="J37" s="23" t="str">
        <x:v>https://reactome.org/content/query?q=Cd84&amp;species=Mus%20musculus</x:v>
      </x:c>
      <x:c r="K37" s="23" t="str">
        <x:v>https://pubmed.ncbi.nlm.nih.gov/?term=(Cd84%5BTitle%2FAbstract%5D)%20AND%20(mouse%20OR%20murine)</x:v>
      </x:c>
    </x:row>
    <x:row r="38">
      <x:c r="A38" s="22" t="str">
        <x:v>Cebpa</x:v>
      </x:c>
      <x:c r="B38" s="23" t="str">
        <x:v>CEBPA</x:v>
      </x:c>
      <x:c r="C38" s="23" t="str">
        <x:v>Myeloid/adipocyte differentiation; transcription</x:v>
      </x:c>
      <x:c r="D38" s="23" t="str">
        <x:v>Lineage-determining transcription factor required for granulocytic differentiation and adipogenesis; regulates broad cell-identity and metabolic programs.</x:v>
      </x:c>
      <x:c r="E38" s="23" t="str">
        <x:v>High</x:v>
      </x:c>
      <x:c r="F38" s="23" t="str">
        <x:v>MGI2020;ALLIANCE2024;UNIPROT2025;NCBIGENE2015;REACTOME2024</x:v>
      </x:c>
      <x:c r="G38" s="23" t="str">
        <x:v>https://www.informatics.jax.org/quicksearch/summary?queryType=exactPhrase&amp;query=Cebpa</x:v>
      </x:c>
      <x:c r="H38" s="23" t="str">
        <x:v>https://www.uniprot.org/uniprotkb?query=%28gene_exact%3ACebpa%29+AND+%28organism_id%3A10090%29</x:v>
      </x:c>
      <x:c r="I38" s="23" t="str">
        <x:v>https://www.ncbi.nlm.nih.gov/gene/?term=Cebpa%5Bgene%5D%20AND%20Mus%20musculus%5Borgn%5D</x:v>
      </x:c>
      <x:c r="J38" s="23" t="str">
        <x:v>https://reactome.org/content/query?q=Cebpa&amp;species=Mus%20musculus</x:v>
      </x:c>
      <x:c r="K38" s="23" t="str">
        <x:v>https://pubmed.ncbi.nlm.nih.gov/?term=(Cebpa%5BTitle%2FAbstract%5D)%20AND%20(mouse%20OR%20murine)</x:v>
      </x:c>
    </x:row>
    <x:row r="39">
      <x:c r="A39" s="22" t="str">
        <x:v>Chil3</x:v>
      </x:c>
      <x:c r="B39" s="23" t="str">
        <x:v>CHI3L1/CHIT1 (family analogs)</x:v>
      </x:c>
      <x:c r="C39" s="23" t="str">
        <x:v>Type-2 inflammation; tissue remodeling</x:v>
      </x:c>
      <x:c r="D39" s="23" t="str">
        <x:v>Mouse chitinase-like protein Ym1 lacking demonstrated chitinase catalytic activity; secreted by activated myeloid cells in type-2 inflammation.</x:v>
      </x:c>
      <x:c r="E39" s="23" t="str">
        <x:v>High</x:v>
      </x:c>
      <x:c r="F39" s="23" t="str">
        <x:v>MGI2020;ALLIANCE2024;UNIPROT2025;NCBIGENE2015;REACTOME2024</x:v>
      </x:c>
      <x:c r="G39" s="23" t="str">
        <x:v>https://www.informatics.jax.org/quicksearch/summary?queryType=exactPhrase&amp;query=Chil3</x:v>
      </x:c>
      <x:c r="H39" s="23" t="str">
        <x:v>https://www.uniprot.org/uniprotkb?query=%28gene_exact%3AChil3%29+AND+%28organism_id%3A10090%29</x:v>
      </x:c>
      <x:c r="I39" s="23" t="str">
        <x:v>https://www.ncbi.nlm.nih.gov/gene/?term=Chil3%5Bgene%5D%20AND%20Mus%20musculus%5Borgn%5D</x:v>
      </x:c>
      <x:c r="J39" s="23" t="str">
        <x:v>https://reactome.org/content/query?q=Chil3&amp;species=Mus%20musculus</x:v>
      </x:c>
      <x:c r="K39" s="23" t="str">
        <x:v>https://pubmed.ncbi.nlm.nih.gov/?term=(Chil3%5BTitle%2FAbstract%5D)%20AND%20(mouse%20OR%20murine)</x:v>
      </x:c>
    </x:row>
    <x:row r="40">
      <x:c r="A40" s="22" t="str">
        <x:v>Cmklr1</x:v>
      </x:c>
      <x:c r="B40" s="23" t="str">
        <x:v>CMKLR1</x:v>
      </x:c>
      <x:c r="C40" s="23" t="str">
        <x:v>Chemerin receptor; chemotaxis and adipokine signaling</x:v>
      </x:c>
      <x:c r="D40" s="23" t="str">
        <x:v>Gi-coupled receptor for chemerin and resolvin E1, controlling migration and context-dependent inflammatory/metabolic signaling.</x:v>
      </x:c>
      <x:c r="E40" s="23" t="str">
        <x:v>High</x:v>
      </x:c>
      <x:c r="F40" s="23" t="str">
        <x:v>MGI2020;ALLIANCE2024;UNIPROT2025;NCBIGENE2015;REACTOME2024</x:v>
      </x:c>
      <x:c r="G40" s="23" t="str">
        <x:v>https://www.informatics.jax.org/quicksearch/summary?queryType=exactPhrase&amp;query=Cmklr1</x:v>
      </x:c>
      <x:c r="H40" s="23" t="str">
        <x:v>https://www.uniprot.org/uniprotkb?query=%28gene_exact%3ACmklr1%29+AND+%28organism_id%3A10090%29</x:v>
      </x:c>
      <x:c r="I40" s="23" t="str">
        <x:v>https://www.ncbi.nlm.nih.gov/gene/?term=Cmklr1%5Bgene%5D%20AND%20Mus%20musculus%5Borgn%5D</x:v>
      </x:c>
      <x:c r="J40" s="23" t="str">
        <x:v>https://reactome.org/content/query?q=Cmklr1&amp;species=Mus%20musculus</x:v>
      </x:c>
      <x:c r="K40" s="23" t="str">
        <x:v>https://pubmed.ncbi.nlm.nih.gov/?term=(Cmklr1%5BTitle%2FAbstract%5D)%20AND%20(mouse%20OR%20murine)</x:v>
      </x:c>
    </x:row>
    <x:row r="41">
      <x:c r="A41" s="22" t="str">
        <x:v>Cndp2</x:v>
      </x:c>
      <x:c r="B41" s="23" t="str">
        <x:v>CNDP2</x:v>
      </x:c>
      <x:c r="C41" s="23" t="str">
        <x:v>Peptide and amino-acid metabolism</x:v>
      </x:c>
      <x:c r="D41" s="23" t="str">
        <x:v>Cytosolic nonspecific dipeptidase/metallopeptidase that hydrolyzes multiple dipeptides, including carnosine-related substrates.</x:v>
      </x:c>
      <x:c r="E41" s="23" t="str">
        <x:v>High</x:v>
      </x:c>
      <x:c r="F41" s="23" t="str">
        <x:v>MGI2020;ALLIANCE2024;UNIPROT2025;NCBIGENE2015;REACTOME2024</x:v>
      </x:c>
      <x:c r="G41" s="23" t="str">
        <x:v>https://www.informatics.jax.org/quicksearch/summary?queryType=exactPhrase&amp;query=Cndp2</x:v>
      </x:c>
      <x:c r="H41" s="23" t="str">
        <x:v>https://www.uniprot.org/uniprotkb?query=%28gene_exact%3ACndp2%29+AND+%28organism_id%3A10090%29</x:v>
      </x:c>
      <x:c r="I41" s="23" t="str">
        <x:v>https://www.ncbi.nlm.nih.gov/gene/?term=Cndp2%5Bgene%5D%20AND%20Mus%20musculus%5Borgn%5D</x:v>
      </x:c>
      <x:c r="J41" s="23" t="str">
        <x:v>https://reactome.org/content/query?q=Cndp2&amp;species=Mus%20musculus</x:v>
      </x:c>
      <x:c r="K41" s="23" t="str">
        <x:v>https://pubmed.ncbi.nlm.nih.gov/?term=(Cndp2%5BTitle%2FAbstract%5D)%20AND%20(mouse%20OR%20murine)</x:v>
      </x:c>
    </x:row>
    <x:row r="42">
      <x:c r="A42" s="22" t="str">
        <x:v>Csf1r</x:v>
      </x:c>
      <x:c r="B42" s="23" t="str">
        <x:v>CSF1R</x:v>
      </x:c>
      <x:c r="C42" s="23" t="str">
        <x:v>Macrophage development and survival</x:v>
      </x:c>
      <x:c r="D42" s="23" t="str">
        <x:v>Receptor tyrosine kinase for CSF1 and IL34, essential for mononuclear-phagocyte differentiation, proliferation and survival.</x:v>
      </x:c>
      <x:c r="E42" s="23" t="str">
        <x:v>High</x:v>
      </x:c>
      <x:c r="F42" s="23" t="str">
        <x:v>MGI2020;ALLIANCE2024;UNIPROT2025;NCBIGENE2015;REACTOME2024</x:v>
      </x:c>
      <x:c r="G42" s="23" t="str">
        <x:v>https://www.informatics.jax.org/quicksearch/summary?queryType=exactPhrase&amp;query=Csf1r</x:v>
      </x:c>
      <x:c r="H42" s="23" t="str">
        <x:v>https://www.uniprot.org/uniprotkb?query=%28gene_exact%3ACsf1r%29+AND+%28organism_id%3A10090%29</x:v>
      </x:c>
      <x:c r="I42" s="23" t="str">
        <x:v>https://www.ncbi.nlm.nih.gov/gene/?term=Csf1r%5Bgene%5D%20AND%20Mus%20musculus%5Borgn%5D</x:v>
      </x:c>
      <x:c r="J42" s="23" t="str">
        <x:v>https://reactome.org/content/query?q=Csf1r&amp;species=Mus%20musculus</x:v>
      </x:c>
      <x:c r="K42" s="23" t="str">
        <x:v>https://pubmed.ncbi.nlm.nih.gov/?term=(Csf1r%5BTitle%2FAbstract%5D)%20AND%20(mouse%20OR%20murine)</x:v>
      </x:c>
    </x:row>
    <x:row r="43">
      <x:c r="A43" s="22" t="str">
        <x:v>Csf2rb</x:v>
      </x:c>
      <x:c r="B43" s="23" t="str">
        <x:v>CSF2RB</x:v>
      </x:c>
      <x:c r="C43" s="23" t="str">
        <x:v>GM-CSF/IL-3/IL-5 receptor signaling</x:v>
      </x:c>
      <x:c r="D43" s="23" t="str">
        <x:v>Shared beta-chain of cytokine receptors that activates JAK2-STAT, MAPK and PI3K pathways in myeloid cells.</x:v>
      </x:c>
      <x:c r="E43" s="23" t="str">
        <x:v>High</x:v>
      </x:c>
      <x:c r="F43" s="23" t="str">
        <x:v>MGI2020;ALLIANCE2024;UNIPROT2025;NCBIGENE2015;REACTOME2024</x:v>
      </x:c>
      <x:c r="G43" s="23" t="str">
        <x:v>https://www.informatics.jax.org/quicksearch/summary?queryType=exactPhrase&amp;query=Csf2rb</x:v>
      </x:c>
      <x:c r="H43" s="23" t="str">
        <x:v>https://www.uniprot.org/uniprotkb?query=%28gene_exact%3ACsf2rb%29+AND+%28organism_id%3A10090%29</x:v>
      </x:c>
      <x:c r="I43" s="23" t="str">
        <x:v>https://www.ncbi.nlm.nih.gov/gene/?term=Csf2rb%5Bgene%5D%20AND%20Mus%20musculus%5Borgn%5D</x:v>
      </x:c>
      <x:c r="J43" s="23" t="str">
        <x:v>https://reactome.org/content/query?q=Csf2rb&amp;species=Mus%20musculus</x:v>
      </x:c>
      <x:c r="K43" s="23" t="str">
        <x:v>https://pubmed.ncbi.nlm.nih.gov/?term=(Csf2rb%5BTitle%2FAbstract%5D)%20AND%20(mouse%20OR%20murine)</x:v>
      </x:c>
    </x:row>
    <x:row r="44">
      <x:c r="A44" s="22" t="str">
        <x:v>Csf2rb2</x:v>
      </x:c>
      <x:c r="B44" s="23" t="str">
        <x:v>CSF2RB</x:v>
      </x:c>
      <x:c r="C44" s="23" t="str">
        <x:v>Cytokine-receptor signaling (mouse paralog)</x:v>
      </x:c>
      <x:c r="D44" s="23" t="str">
        <x:v>Mouse-specific beta-common-receptor paralog contributing to IL-3-family cytokine signaling; translation to human CSF2RB is not one-to-one.</x:v>
      </x:c>
      <x:c r="E44" s="23" t="str">
        <x:v>Moderate</x:v>
      </x:c>
      <x:c r="F44" s="23" t="str">
        <x:v>MGI2020;ALLIANCE2024;UNIPROT2025;NCBIGENE2015;REACTOME2024</x:v>
      </x:c>
      <x:c r="G44" s="23" t="str">
        <x:v>https://www.informatics.jax.org/quicksearch/summary?queryType=exactPhrase&amp;query=Csf2rb2</x:v>
      </x:c>
      <x:c r="H44" s="23" t="str">
        <x:v>https://www.uniprot.org/uniprotkb?query=%28gene_exact%3ACsf2rb2%29+AND+%28organism_id%3A10090%29</x:v>
      </x:c>
      <x:c r="I44" s="23" t="str">
        <x:v>https://www.ncbi.nlm.nih.gov/gene/?term=Csf2rb2%5Bgene%5D%20AND%20Mus%20musculus%5Borgn%5D</x:v>
      </x:c>
      <x:c r="J44" s="23" t="str">
        <x:v>https://reactome.org/content/query?q=Csf2rb2&amp;species=Mus%20musculus</x:v>
      </x:c>
      <x:c r="K44" s="23" t="str">
        <x:v>https://pubmed.ncbi.nlm.nih.gov/?term=(Csf2rb2%5BTitle%2FAbstract%5D)%20AND%20(mouse%20OR%20murine)</x:v>
      </x:c>
    </x:row>
    <x:row r="45">
      <x:c r="A45" s="22" t="str">
        <x:v>Ctsc</x:v>
      </x:c>
      <x:c r="B45" s="23" t="str">
        <x:v>CTSC</x:v>
      </x:c>
      <x:c r="C45" s="23" t="str">
        <x:v>Lysosomal proteolysis; granule-serine-protease activation</x:v>
      </x:c>
      <x:c r="D45" s="23" t="str">
        <x:v>Lysosomal cysteine dipeptidyl peptidase that removes N-terminal dipeptides and activates neutrophil/lymphocyte granule serine proteases.</x:v>
      </x:c>
      <x:c r="E45" s="23" t="str">
        <x:v>High</x:v>
      </x:c>
      <x:c r="F45" s="23" t="str">
        <x:v>MGI2020;ALLIANCE2024;UNIPROT2025;NCBIGENE2015;REACTOME2024</x:v>
      </x:c>
      <x:c r="G45" s="23" t="str">
        <x:v>https://www.informatics.jax.org/quicksearch/summary?queryType=exactPhrase&amp;query=Ctsc</x:v>
      </x:c>
      <x:c r="H45" s="23" t="str">
        <x:v>https://www.uniprot.org/uniprotkb?query=%28gene_exact%3ACtsc%29+AND+%28organism_id%3A10090%29</x:v>
      </x:c>
      <x:c r="I45" s="23" t="str">
        <x:v>https://www.ncbi.nlm.nih.gov/gene/?term=Ctsc%5Bgene%5D%20AND%20Mus%20musculus%5Borgn%5D</x:v>
      </x:c>
      <x:c r="J45" s="23" t="str">
        <x:v>https://reactome.org/content/query?q=Ctsc&amp;species=Mus%20musculus</x:v>
      </x:c>
      <x:c r="K45" s="23" t="str">
        <x:v>https://pubmed.ncbi.nlm.nih.gov/?term=(Ctsc%5BTitle%2FAbstract%5D)%20AND%20(mouse%20OR%20murine)</x:v>
      </x:c>
    </x:row>
    <x:row r="46">
      <x:c r="A46" s="22" t="str">
        <x:v>Ctsd</x:v>
      </x:c>
      <x:c r="B46" s="23" t="str">
        <x:v>CTSD</x:v>
      </x:c>
      <x:c r="C46" s="23" t="str">
        <x:v>Lysosomal proteolysis</x:v>
      </x:c>
      <x:c r="D46" s="23" t="str">
        <x:v>Major lysosomal aspartyl endopeptidase that degrades proteins and processes selected bioactive precursors.</x:v>
      </x:c>
      <x:c r="E46" s="23" t="str">
        <x:v>High</x:v>
      </x:c>
      <x:c r="F46" s="23" t="str">
        <x:v>MGI2020;ALLIANCE2024;UNIPROT2025;NCBIGENE2015;REACTOME2024</x:v>
      </x:c>
      <x:c r="G46" s="23" t="str">
        <x:v>https://www.informatics.jax.org/quicksearch/summary?queryType=exactPhrase&amp;query=Ctsd</x:v>
      </x:c>
      <x:c r="H46" s="23" t="str">
        <x:v>https://www.uniprot.org/uniprotkb?query=%28gene_exact%3ACtsd%29+AND+%28organism_id%3A10090%29</x:v>
      </x:c>
      <x:c r="I46" s="23" t="str">
        <x:v>https://www.ncbi.nlm.nih.gov/gene/?term=Ctsd%5Bgene%5D%20AND%20Mus%20musculus%5Borgn%5D</x:v>
      </x:c>
      <x:c r="J46" s="23" t="str">
        <x:v>https://reactome.org/content/query?q=Ctsd&amp;species=Mus%20musculus</x:v>
      </x:c>
      <x:c r="K46" s="23" t="str">
        <x:v>https://pubmed.ncbi.nlm.nih.gov/?term=(Ctsd%5BTitle%2FAbstract%5D)%20AND%20(mouse%20OR%20murine)</x:v>
      </x:c>
    </x:row>
    <x:row r="47">
      <x:c r="A47" s="22" t="str">
        <x:v>Ctsh</x:v>
      </x:c>
      <x:c r="B47" s="23" t="str">
        <x:v>CTSH</x:v>
      </x:c>
      <x:c r="C47" s="23" t="str">
        <x:v>Lysosomal proteolysis; antigen processing</x:v>
      </x:c>
      <x:c r="D47" s="23" t="str">
        <x:v>Cysteine cathepsin with aminopeptidase and endopeptidase activities in lysosomal protein turnover and antigen processing.</x:v>
      </x:c>
      <x:c r="E47" s="23" t="str">
        <x:v>High</x:v>
      </x:c>
      <x:c r="F47" s="23" t="str">
        <x:v>MGI2020;ALLIANCE2024;UNIPROT2025;NCBIGENE2015;REACTOME2024</x:v>
      </x:c>
      <x:c r="G47" s="23" t="str">
        <x:v>https://www.informatics.jax.org/quicksearch/summary?queryType=exactPhrase&amp;query=Ctsh</x:v>
      </x:c>
      <x:c r="H47" s="23" t="str">
        <x:v>https://www.uniprot.org/uniprotkb?query=%28gene_exact%3ACtsh%29+AND+%28organism_id%3A10090%29</x:v>
      </x:c>
      <x:c r="I47" s="23" t="str">
        <x:v>https://www.ncbi.nlm.nih.gov/gene/?term=Ctsh%5Bgene%5D%20AND%20Mus%20musculus%5Borgn%5D</x:v>
      </x:c>
      <x:c r="J47" s="23" t="str">
        <x:v>https://reactome.org/content/query?q=Ctsh&amp;species=Mus%20musculus</x:v>
      </x:c>
      <x:c r="K47" s="23" t="str">
        <x:v>https://pubmed.ncbi.nlm.nih.gov/?term=(Ctsh%5BTitle%2FAbstract%5D)%20AND%20(mouse%20OR%20murine)</x:v>
      </x:c>
    </x:row>
    <x:row r="48">
      <x:c r="A48" s="22" t="str">
        <x:v>Ctsz</x:v>
      </x:c>
      <x:c r="B48" s="23" t="str">
        <x:v>CTSZ</x:v>
      </x:c>
      <x:c r="C48" s="23" t="str">
        <x:v>Lysosomal proteolysis; adhesion/migration</x:v>
      </x:c>
      <x:c r="D48" s="23" t="str">
        <x:v>Cysteine carboxypeptidase in lysosomal protein turnover; also modulates integrin-dependent adhesion through noncatalytic interactions.</x:v>
      </x:c>
      <x:c r="E48" s="23" t="str">
        <x:v>High</x:v>
      </x:c>
      <x:c r="F48" s="23" t="str">
        <x:v>MGI2020;ALLIANCE2024;UNIPROT2025;NCBIGENE2015;REACTOME2024</x:v>
      </x:c>
      <x:c r="G48" s="23" t="str">
        <x:v>https://www.informatics.jax.org/quicksearch/summary?queryType=exactPhrase&amp;query=Ctsz</x:v>
      </x:c>
      <x:c r="H48" s="23" t="str">
        <x:v>https://www.uniprot.org/uniprotkb?query=%28gene_exact%3ACtsz%29+AND+%28organism_id%3A10090%29</x:v>
      </x:c>
      <x:c r="I48" s="23" t="str">
        <x:v>https://www.ncbi.nlm.nih.gov/gene/?term=Ctsz%5Bgene%5D%20AND%20Mus%20musculus%5Borgn%5D</x:v>
      </x:c>
      <x:c r="J48" s="23" t="str">
        <x:v>https://reactome.org/content/query?q=Ctsz&amp;species=Mus%20musculus</x:v>
      </x:c>
      <x:c r="K48" s="23" t="str">
        <x:v>https://pubmed.ncbi.nlm.nih.gov/?term=(Ctsz%5BTitle%2FAbstract%5D)%20AND%20(mouse%20OR%20murine)</x:v>
      </x:c>
    </x:row>
    <x:row r="49">
      <x:c r="A49" s="22" t="str">
        <x:v>Cxcl10</x:v>
      </x:c>
      <x:c r="B49" s="23" t="str">
        <x:v>CXCL10</x:v>
      </x:c>
      <x:c r="C49" s="23" t="str">
        <x:v>Interferon-inducible chemokine signaling</x:v>
      </x:c>
      <x:c r="D49" s="23" t="str">
        <x:v>CXCR3 ligand that recruits activated T cells, NK cells and other leukocytes during interferon-dominated inflammation.</x:v>
      </x:c>
      <x:c r="E49" s="23" t="str">
        <x:v>High</x:v>
      </x:c>
      <x:c r="F49" s="23" t="str">
        <x:v>MGI2020;ALLIANCE2024;UNIPROT2025;NCBIGENE2015;REACTOME2024</x:v>
      </x:c>
      <x:c r="G49" s="23" t="str">
        <x:v>https://www.informatics.jax.org/quicksearch/summary?queryType=exactPhrase&amp;query=Cxcl10</x:v>
      </x:c>
      <x:c r="H49" s="23" t="str">
        <x:v>https://www.uniprot.org/uniprotkb?query=%28gene_exact%3ACxcl10%29+AND+%28organism_id%3A10090%29</x:v>
      </x:c>
      <x:c r="I49" s="23" t="str">
        <x:v>https://www.ncbi.nlm.nih.gov/gene/?term=Cxcl10%5Bgene%5D%20AND%20Mus%20musculus%5Borgn%5D</x:v>
      </x:c>
      <x:c r="J49" s="23" t="str">
        <x:v>https://reactome.org/content/query?q=Cxcl10&amp;species=Mus%20musculus</x:v>
      </x:c>
      <x:c r="K49" s="23" t="str">
        <x:v>https://pubmed.ncbi.nlm.nih.gov/?term=(Cxcl10%5BTitle%2FAbstract%5D)%20AND%20(mouse%20OR%20murine)</x:v>
      </x:c>
    </x:row>
    <x:row r="50">
      <x:c r="A50" s="22" t="str">
        <x:v>Cxcl12</x:v>
      </x:c>
      <x:c r="B50" s="23" t="str">
        <x:v>CXCL12</x:v>
      </x:c>
      <x:c r="C50" s="23" t="str">
        <x:v>Chemokine signaling; stem-cell retention</x:v>
      </x:c>
      <x:c r="D50" s="23" t="str">
        <x:v>CXCR4/ACKR3 ligand controlling hematopoietic retention, development, angiogenesis and directed cell migration.</x:v>
      </x:c>
      <x:c r="E50" s="23" t="str">
        <x:v>High</x:v>
      </x:c>
      <x:c r="F50" s="23" t="str">
        <x:v>MGI2020;ALLIANCE2024;UNIPROT2025;NCBIGENE2015;REACTOME2024</x:v>
      </x:c>
      <x:c r="G50" s="23" t="str">
        <x:v>https://www.informatics.jax.org/quicksearch/summary?queryType=exactPhrase&amp;query=Cxcl12</x:v>
      </x:c>
      <x:c r="H50" s="23" t="str">
        <x:v>https://www.uniprot.org/uniprotkb?query=%28gene_exact%3ACxcl12%29+AND+%28organism_id%3A10090%29</x:v>
      </x:c>
      <x:c r="I50" s="23" t="str">
        <x:v>https://www.ncbi.nlm.nih.gov/gene/?term=Cxcl12%5Bgene%5D%20AND%20Mus%20musculus%5Borgn%5D</x:v>
      </x:c>
      <x:c r="J50" s="23" t="str">
        <x:v>https://reactome.org/content/query?q=Cxcl12&amp;species=Mus%20musculus</x:v>
      </x:c>
      <x:c r="K50" s="23" t="str">
        <x:v>https://pubmed.ncbi.nlm.nih.gov/?term=(Cxcl12%5BTitle%2FAbstract%5D)%20AND%20(mouse%20OR%20murine)</x:v>
      </x:c>
    </x:row>
    <x:row r="51">
      <x:c r="A51" s="22" t="str">
        <x:v>Cybb</x:v>
      </x:c>
      <x:c r="B51" s="23" t="str">
        <x:v>CYBB</x:v>
      </x:c>
      <x:c r="C51" s="23" t="str">
        <x:v>Phagocyte oxidase; antimicrobial redox biology</x:v>
      </x:c>
      <x:c r="D51" s="23" t="str">
        <x:v>NOX2 catalytic membrane subunit that transfers electrons from NADPH to oxygen to generate superoxide during the respiratory burst.</x:v>
      </x:c>
      <x:c r="E51" s="23" t="str">
        <x:v>High</x:v>
      </x:c>
      <x:c r="F51" s="23" t="str">
        <x:v>MGI2020;ALLIANCE2024;UNIPROT2025;NCBIGENE2015;REACTOME2024</x:v>
      </x:c>
      <x:c r="G51" s="23" t="str">
        <x:v>https://www.informatics.jax.org/quicksearch/summary?queryType=exactPhrase&amp;query=Cybb</x:v>
      </x:c>
      <x:c r="H51" s="23" t="str">
        <x:v>https://www.uniprot.org/uniprotkb?query=%28gene_exact%3ACybb%29+AND+%28organism_id%3A10090%29</x:v>
      </x:c>
      <x:c r="I51" s="23" t="str">
        <x:v>https://www.ncbi.nlm.nih.gov/gene/?term=Cybb%5Bgene%5D%20AND%20Mus%20musculus%5Borgn%5D</x:v>
      </x:c>
      <x:c r="J51" s="23" t="str">
        <x:v>https://reactome.org/content/query?q=Cybb&amp;species=Mus%20musculus</x:v>
      </x:c>
      <x:c r="K51" s="23" t="str">
        <x:v>https://pubmed.ncbi.nlm.nih.gov/?term=(Cybb%5BTitle%2FAbstract%5D)%20AND%20(mouse%20OR%20murine)</x:v>
      </x:c>
    </x:row>
    <x:row r="52">
      <x:c r="A52" s="22" t="str">
        <x:v>Cyth4</x:v>
      </x:c>
      <x:c r="B52" s="23" t="str">
        <x:v>CYTH4</x:v>
      </x:c>
      <x:c r="C52" s="23" t="str">
        <x:v>ARF-family signaling; immune-cell trafficking</x:v>
      </x:c>
      <x:c r="D52" s="23" t="str">
        <x:v>Cytohesin-family guanine-nucleotide exchange factor for ARF GTPases involved in integrin activation and membrane trafficking.</x:v>
      </x:c>
      <x:c r="E52" s="23" t="str">
        <x:v>Moderate</x:v>
      </x:c>
      <x:c r="F52" s="23" t="str">
        <x:v>MGI2020;ALLIANCE2024;UNIPROT2025;NCBIGENE2015;REACTOME2024</x:v>
      </x:c>
      <x:c r="G52" s="23" t="str">
        <x:v>https://www.informatics.jax.org/quicksearch/summary?queryType=exactPhrase&amp;query=Cyth4</x:v>
      </x:c>
      <x:c r="H52" s="23" t="str">
        <x:v>https://www.uniprot.org/uniprotkb?query=%28gene_exact%3ACyth4%29+AND+%28organism_id%3A10090%29</x:v>
      </x:c>
      <x:c r="I52" s="23" t="str">
        <x:v>https://www.ncbi.nlm.nih.gov/gene/?term=Cyth4%5Bgene%5D%20AND%20Mus%20musculus%5Borgn%5D</x:v>
      </x:c>
      <x:c r="J52" s="23" t="str">
        <x:v>https://reactome.org/content/query?q=Cyth4&amp;species=Mus%20musculus</x:v>
      </x:c>
      <x:c r="K52" s="23" t="str">
        <x:v>https://pubmed.ncbi.nlm.nih.gov/?term=(Cyth4%5BTitle%2FAbstract%5D)%20AND%20(mouse%20OR%20murine)</x:v>
      </x:c>
    </x:row>
    <x:row r="53">
      <x:c r="A53" s="22" t="str">
        <x:v>Ddost</x:v>
      </x:c>
      <x:c r="B53" s="23" t="str">
        <x:v>DDOST</x:v>
      </x:c>
      <x:c r="C53" s="23" t="str">
        <x:v>N-linked glycosylation; ER protein processing</x:v>
      </x:c>
      <x:c r="D53" s="23" t="str">
        <x:v>Subunit of oligosaccharyltransferase that transfers preassembled oligosaccharide to nascent proteins in the ER.</x:v>
      </x:c>
      <x:c r="E53" s="23" t="str">
        <x:v>High</x:v>
      </x:c>
      <x:c r="F53" s="23" t="str">
        <x:v>MGI2020;ALLIANCE2024;UNIPROT2025;NCBIGENE2015;REACTOME2024</x:v>
      </x:c>
      <x:c r="G53" s="23" t="str">
        <x:v>https://www.informatics.jax.org/quicksearch/summary?queryType=exactPhrase&amp;query=Ddost</x:v>
      </x:c>
      <x:c r="H53" s="23" t="str">
        <x:v>https://www.uniprot.org/uniprotkb?query=%28gene_exact%3ADdost%29+AND+%28organism_id%3A10090%29</x:v>
      </x:c>
      <x:c r="I53" s="23" t="str">
        <x:v>https://www.ncbi.nlm.nih.gov/gene/?term=Ddost%5Bgene%5D%20AND%20Mus%20musculus%5Borgn%5D</x:v>
      </x:c>
      <x:c r="J53" s="23" t="str">
        <x:v>https://reactome.org/content/query?q=Ddost&amp;species=Mus%20musculus</x:v>
      </x:c>
      <x:c r="K53" s="23" t="str">
        <x:v>https://pubmed.ncbi.nlm.nih.gov/?term=(Ddost%5BTitle%2FAbstract%5D)%20AND%20(mouse%20OR%20murine)</x:v>
      </x:c>
    </x:row>
    <x:row r="54">
      <x:c r="A54" s="22" t="str">
        <x:v>Dock8</x:v>
      </x:c>
      <x:c r="B54" s="23" t="str">
        <x:v>DOCK8</x:v>
      </x:c>
      <x:c r="C54" s="23" t="str">
        <x:v>RAC/CDC42 signaling; immune-cell cytoskeleton</x:v>
      </x:c>
      <x:c r="D54" s="23" t="str">
        <x:v>Atypical guanine-nucleotide exchange factor required for actin remodeling, immune synapse integrity, migration and antiviral immunity.</x:v>
      </x:c>
      <x:c r="E54" s="23" t="str">
        <x:v>High</x:v>
      </x:c>
      <x:c r="F54" s="23" t="str">
        <x:v>MGI2020;ALLIANCE2024;UNIPROT2025;NCBIGENE2015;REACTOME2024</x:v>
      </x:c>
      <x:c r="G54" s="23" t="str">
        <x:v>https://www.informatics.jax.org/quicksearch/summary?queryType=exactPhrase&amp;query=Dock8</x:v>
      </x:c>
      <x:c r="H54" s="23" t="str">
        <x:v>https://www.uniprot.org/uniprotkb?query=%28gene_exact%3ADock8%29+AND+%28organism_id%3A10090%29</x:v>
      </x:c>
      <x:c r="I54" s="23" t="str">
        <x:v>https://www.ncbi.nlm.nih.gov/gene/?term=Dock8%5Bgene%5D%20AND%20Mus%20musculus%5Borgn%5D</x:v>
      </x:c>
      <x:c r="J54" s="23" t="str">
        <x:v>https://reactome.org/content/query?q=Dock8&amp;species=Mus%20musculus</x:v>
      </x:c>
      <x:c r="K54" s="23" t="str">
        <x:v>https://pubmed.ncbi.nlm.nih.gov/?term=(Dock8%5BTitle%2FAbstract%5D)%20AND%20(mouse%20OR%20murine)</x:v>
      </x:c>
    </x:row>
    <x:row r="55">
      <x:c r="A55" s="22" t="str">
        <x:v>Dusp2</x:v>
      </x:c>
      <x:c r="B55" s="23" t="str">
        <x:v>DUSP2</x:v>
      </x:c>
      <x:c r="C55" s="23" t="str">
        <x:v>MAPK signal termination</x:v>
      </x:c>
      <x:c r="D55" s="23" t="str">
        <x:v>Dual-specificity phosphatase that dephosphorylates ERK/JNK/p38-family MAPKs and tunes inflammatory transcription.</x:v>
      </x:c>
      <x:c r="E55" s="23" t="str">
        <x:v>High</x:v>
      </x:c>
      <x:c r="F55" s="23" t="str">
        <x:v>MGI2020;ALLIANCE2024;UNIPROT2025;NCBIGENE2015;REACTOME2024</x:v>
      </x:c>
      <x:c r="G55" s="23" t="str">
        <x:v>https://www.informatics.jax.org/quicksearch/summary?queryType=exactPhrase&amp;query=Dusp2</x:v>
      </x:c>
      <x:c r="H55" s="23" t="str">
        <x:v>https://www.uniprot.org/uniprotkb?query=%28gene_exact%3ADusp2%29+AND+%28organism_id%3A10090%29</x:v>
      </x:c>
      <x:c r="I55" s="23" t="str">
        <x:v>https://www.ncbi.nlm.nih.gov/gene/?term=Dusp2%5Bgene%5D%20AND%20Mus%20musculus%5Borgn%5D</x:v>
      </x:c>
      <x:c r="J55" s="23" t="str">
        <x:v>https://reactome.org/content/query?q=Dusp2&amp;species=Mus%20musculus</x:v>
      </x:c>
      <x:c r="K55" s="23" t="str">
        <x:v>https://pubmed.ncbi.nlm.nih.gov/?term=(Dusp2%5BTitle%2FAbstract%5D)%20AND%20(mouse%20OR%20murine)</x:v>
      </x:c>
    </x:row>
    <x:row r="56">
      <x:c r="A56" s="22" t="str">
        <x:v>E2f8</x:v>
      </x:c>
      <x:c r="B56" s="23" t="str">
        <x:v>E2F8</x:v>
      </x:c>
      <x:c r="C56" s="23" t="str">
        <x:v>Cell-cycle transcription</x:v>
      </x:c>
      <x:c r="D56" s="23" t="str">
        <x:v>Atypical E2F transcriptional repressor/activator controlling S-phase, DNA replication and polyploidization programs.</x:v>
      </x:c>
      <x:c r="E56" s="23" t="str">
        <x:v>High</x:v>
      </x:c>
      <x:c r="F56" s="23" t="str">
        <x:v>MGI2020;ALLIANCE2024;UNIPROT2025;NCBIGENE2015;REACTOME2024</x:v>
      </x:c>
      <x:c r="G56" s="23" t="str">
        <x:v>https://www.informatics.jax.org/quicksearch/summary?queryType=exactPhrase&amp;query=E2f8</x:v>
      </x:c>
      <x:c r="H56" s="23" t="str">
        <x:v>https://www.uniprot.org/uniprotkb?query=%28gene_exact%3AE2f8%29+AND+%28organism_id%3A10090%29</x:v>
      </x:c>
      <x:c r="I56" s="23" t="str">
        <x:v>https://www.ncbi.nlm.nih.gov/gene/?term=E2f8%5Bgene%5D%20AND%20Mus%20musculus%5Borgn%5D</x:v>
      </x:c>
      <x:c r="J56" s="23" t="str">
        <x:v>https://reactome.org/content/query?q=E2f8&amp;species=Mus%20musculus</x:v>
      </x:c>
      <x:c r="K56" s="23" t="str">
        <x:v>https://pubmed.ncbi.nlm.nih.gov/?term=(E2f8%5BTitle%2FAbstract%5D)%20AND%20(mouse%20OR%20murine)</x:v>
      </x:c>
    </x:row>
    <x:row r="57">
      <x:c r="A57" s="22" t="str">
        <x:v>Elf4</x:v>
      </x:c>
      <x:c r="B57" s="23" t="str">
        <x:v>ELF4</x:v>
      </x:c>
      <x:c r="C57" s="23" t="str">
        <x:v>ETS-family transcription; innate and lymphoid programs</x:v>
      </x:c>
      <x:c r="D57" s="23" t="str">
        <x:v>ETS-family transcription factor regulating hematopoiesis, innate antiviral genes and lymphocyte quiescence/activation.</x:v>
      </x:c>
      <x:c r="E57" s="23" t="str">
        <x:v>Moderate</x:v>
      </x:c>
      <x:c r="F57" s="23" t="str">
        <x:v>MGI2020;ALLIANCE2024;UNIPROT2025;NCBIGENE2015;REACTOME2024</x:v>
      </x:c>
      <x:c r="G57" s="23" t="str">
        <x:v>https://www.informatics.jax.org/quicksearch/summary?queryType=exactPhrase&amp;query=Elf4</x:v>
      </x:c>
      <x:c r="H57" s="23" t="str">
        <x:v>https://www.uniprot.org/uniprotkb?query=%28gene_exact%3AElf4%29+AND+%28organism_id%3A10090%29</x:v>
      </x:c>
      <x:c r="I57" s="23" t="str">
        <x:v>https://www.ncbi.nlm.nih.gov/gene/?term=Elf4%5Bgene%5D%20AND%20Mus%20musculus%5Borgn%5D</x:v>
      </x:c>
      <x:c r="J57" s="23" t="str">
        <x:v>https://reactome.org/content/query?q=Elf4&amp;species=Mus%20musculus</x:v>
      </x:c>
      <x:c r="K57" s="23" t="str">
        <x:v>https://pubmed.ncbi.nlm.nih.gov/?term=(Elf4%5BTitle%2FAbstract%5D)%20AND%20(mouse%20OR%20murine)</x:v>
      </x:c>
    </x:row>
    <x:row r="58">
      <x:c r="A58" s="22" t="str">
        <x:v>Epha2</x:v>
      </x:c>
      <x:c r="B58" s="23" t="str">
        <x:v>EPHA2</x:v>
      </x:c>
      <x:c r="C58" s="23" t="str">
        <x:v>Ephrin receptor signaling; adhesion and migration</x:v>
      </x:c>
      <x:c r="D58" s="23" t="str">
        <x:v>Receptor tyrosine kinase whose ligand-dependent and ligand-independent signaling regulate cell adhesion, polarity, migration and vascular/tumor biology.</x:v>
      </x:c>
      <x:c r="E58" s="23" t="str">
        <x:v>High</x:v>
      </x:c>
      <x:c r="F58" s="23" t="str">
        <x:v>MGI2020;ALLIANCE2024;UNIPROT2025;NCBIGENE2015;REACTOME2024</x:v>
      </x:c>
      <x:c r="G58" s="23" t="str">
        <x:v>https://www.informatics.jax.org/quicksearch/summary?queryType=exactPhrase&amp;query=Epha2</x:v>
      </x:c>
      <x:c r="H58" s="23" t="str">
        <x:v>https://www.uniprot.org/uniprotkb?query=%28gene_exact%3AEpha2%29+AND+%28organism_id%3A10090%29</x:v>
      </x:c>
      <x:c r="I58" s="23" t="str">
        <x:v>https://www.ncbi.nlm.nih.gov/gene/?term=Epha2%5Bgene%5D%20AND%20Mus%20musculus%5Borgn%5D</x:v>
      </x:c>
      <x:c r="J58" s="23" t="str">
        <x:v>https://reactome.org/content/query?q=Epha2&amp;species=Mus%20musculus</x:v>
      </x:c>
      <x:c r="K58" s="23" t="str">
        <x:v>https://pubmed.ncbi.nlm.nih.gov/?term=(Epha2%5BTitle%2FAbstract%5D)%20AND%20(mouse%20OR%20murine)</x:v>
      </x:c>
    </x:row>
    <x:row r="59">
      <x:c r="A59" s="22" t="str">
        <x:v>Erp29</x:v>
      </x:c>
      <x:c r="B59" s="23" t="str">
        <x:v>ERP29</x:v>
      </x:c>
      <x:c r="C59" s="23" t="str">
        <x:v>ER proteostasis and secretory trafficking</x:v>
      </x:c>
      <x:c r="D59" s="23" t="str">
        <x:v>ER luminal chaperone-like protein supporting folding/export of selected secretory and membrane proteins; lacks classical thioredoxin catalytic motif.</x:v>
      </x:c>
      <x:c r="E59" s="23" t="str">
        <x:v>Moderate</x:v>
      </x:c>
      <x:c r="F59" s="23" t="str">
        <x:v>MGI2020;ALLIANCE2024;UNIPROT2025;NCBIGENE2015;REACTOME2024</x:v>
      </x:c>
      <x:c r="G59" s="23" t="str">
        <x:v>https://www.informatics.jax.org/quicksearch/summary?queryType=exactPhrase&amp;query=Erp29</x:v>
      </x:c>
      <x:c r="H59" s="23" t="str">
        <x:v>https://www.uniprot.org/uniprotkb?query=%28gene_exact%3AErp29%29+AND+%28organism_id%3A10090%29</x:v>
      </x:c>
      <x:c r="I59" s="23" t="str">
        <x:v>https://www.ncbi.nlm.nih.gov/gene/?term=Erp29%5Bgene%5D%20AND%20Mus%20musculus%5Borgn%5D</x:v>
      </x:c>
      <x:c r="J59" s="23" t="str">
        <x:v>https://reactome.org/content/query?q=Erp29&amp;species=Mus%20musculus</x:v>
      </x:c>
      <x:c r="K59" s="23" t="str">
        <x:v>https://pubmed.ncbi.nlm.nih.gov/?term=(Erp29%5BTitle%2FAbstract%5D)%20AND%20(mouse%20OR%20murine)</x:v>
      </x:c>
    </x:row>
    <x:row r="60">
      <x:c r="A60" s="22" t="str">
        <x:v>Fcer1g</x:v>
      </x:c>
      <x:c r="B60" s="23" t="str">
        <x:v>FCER1G</x:v>
      </x:c>
      <x:c r="C60" s="23" t="str">
        <x:v>ITAM adaptor signaling</x:v>
      </x:c>
      <x:c r="D60" s="23" t="str">
        <x:v>Common Fc-receptor gamma chain carrying an ITAM, required for signaling by multiple Fc, C-type lectin and myeloid receptors.</x:v>
      </x:c>
      <x:c r="E60" s="23" t="str">
        <x:v>High</x:v>
      </x:c>
      <x:c r="F60" s="23" t="str">
        <x:v>MGI2020;ALLIANCE2024;UNIPROT2025;NCBIGENE2015;REACTOME2024</x:v>
      </x:c>
      <x:c r="G60" s="23" t="str">
        <x:v>https://www.informatics.jax.org/quicksearch/summary?queryType=exactPhrase&amp;query=Fcer1g</x:v>
      </x:c>
      <x:c r="H60" s="23" t="str">
        <x:v>https://www.uniprot.org/uniprotkb?query=%28gene_exact%3AFcer1g%29+AND+%28organism_id%3A10090%29</x:v>
      </x:c>
      <x:c r="I60" s="23" t="str">
        <x:v>https://www.ncbi.nlm.nih.gov/gene/?term=Fcer1g%5Bgene%5D%20AND%20Mus%20musculus%5Borgn%5D</x:v>
      </x:c>
      <x:c r="J60" s="23" t="str">
        <x:v>https://reactome.org/content/query?q=Fcer1g&amp;species=Mus%20musculus</x:v>
      </x:c>
      <x:c r="K60" s="23" t="str">
        <x:v>https://pubmed.ncbi.nlm.nih.gov/?term=(Fcer1g%5BTitle%2FAbstract%5D)%20AND%20(mouse%20OR%20murine)</x:v>
      </x:c>
    </x:row>
    <x:row r="61">
      <x:c r="A61" s="22" t="str">
        <x:v>Fcgr1</x:v>
      </x:c>
      <x:c r="B61" s="23" t="str">
        <x:v>FCGR1A</x:v>
      </x:c>
      <x:c r="C61" s="23" t="str">
        <x:v>IgG Fc-receptor signaling; phagocytosis</x:v>
      </x:c>
      <x:c r="D61" s="23" t="str">
        <x:v>High-affinity activating IgG receptor driving phagocytosis, antigen uptake and inflammatory signaling through FCER1G.</x:v>
      </x:c>
      <x:c r="E61" s="23" t="str">
        <x:v>High</x:v>
      </x:c>
      <x:c r="F61" s="23" t="str">
        <x:v>MGI2020;ALLIANCE2024;UNIPROT2025;NCBIGENE2015;REACTOME2024</x:v>
      </x:c>
      <x:c r="G61" s="23" t="str">
        <x:v>https://www.informatics.jax.org/quicksearch/summary?queryType=exactPhrase&amp;query=Fcgr1</x:v>
      </x:c>
      <x:c r="H61" s="23" t="str">
        <x:v>https://www.uniprot.org/uniprotkb?query=%28gene_exact%3AFcgr1%29+AND+%28organism_id%3A10090%29</x:v>
      </x:c>
      <x:c r="I61" s="23" t="str">
        <x:v>https://www.ncbi.nlm.nih.gov/gene/?term=Fcgr1%5Bgene%5D%20AND%20Mus%20musculus%5Borgn%5D</x:v>
      </x:c>
      <x:c r="J61" s="23" t="str">
        <x:v>https://reactome.org/content/query?q=Fcgr1&amp;species=Mus%20musculus</x:v>
      </x:c>
      <x:c r="K61" s="23" t="str">
        <x:v>https://pubmed.ncbi.nlm.nih.gov/?term=(Fcgr1%5BTitle%2FAbstract%5D)%20AND%20(mouse%20OR%20murine)</x:v>
      </x:c>
    </x:row>
    <x:row r="62">
      <x:c r="A62" s="22" t="str">
        <x:v>Fcgr2b</x:v>
      </x:c>
      <x:c r="B62" s="23" t="str">
        <x:v>FCGR2B</x:v>
      </x:c>
      <x:c r="C62" s="23" t="str">
        <x:v>Inhibitory IgG Fc-receptor signaling</x:v>
      </x:c>
      <x:c r="D62" s="23" t="str">
        <x:v>ITIM-containing IgG receptor that recruits phosphatases and limits B-cell/myeloid activation and immune-complex responses.</x:v>
      </x:c>
      <x:c r="E62" s="23" t="str">
        <x:v>High</x:v>
      </x:c>
      <x:c r="F62" s="23" t="str">
        <x:v>MGI2020;ALLIANCE2024;UNIPROT2025;NCBIGENE2015;REACTOME2024</x:v>
      </x:c>
      <x:c r="G62" s="23" t="str">
        <x:v>https://www.informatics.jax.org/quicksearch/summary?queryType=exactPhrase&amp;query=Fcgr2b</x:v>
      </x:c>
      <x:c r="H62" s="23" t="str">
        <x:v>https://www.uniprot.org/uniprotkb?query=%28gene_exact%3AFcgr2b%29+AND+%28organism_id%3A10090%29</x:v>
      </x:c>
      <x:c r="I62" s="23" t="str">
        <x:v>https://www.ncbi.nlm.nih.gov/gene/?term=Fcgr2b%5Bgene%5D%20AND%20Mus%20musculus%5Borgn%5D</x:v>
      </x:c>
      <x:c r="J62" s="23" t="str">
        <x:v>https://reactome.org/content/query?q=Fcgr2b&amp;species=Mus%20musculus</x:v>
      </x:c>
      <x:c r="K62" s="23" t="str">
        <x:v>https://pubmed.ncbi.nlm.nih.gov/?term=(Fcgr2b%5BTitle%2FAbstract%5D)%20AND%20(mouse%20OR%20murine)</x:v>
      </x:c>
    </x:row>
    <x:row r="63">
      <x:c r="A63" s="22" t="str">
        <x:v>Fcgr3</x:v>
      </x:c>
      <x:c r="B63" s="23" t="str">
        <x:v>FCGR3A/FCGR3B</x:v>
      </x:c>
      <x:c r="C63" s="23" t="str">
        <x:v>IgG Fc-receptor signaling; cytotoxicity/phagocytosis</x:v>
      </x:c>
      <x:c r="D63" s="23" t="str">
        <x:v>Low-affinity activating IgG receptor on innate immune cells, coupled to ITAM adaptors for antibody-dependent effector responses.</x:v>
      </x:c>
      <x:c r="E63" s="23" t="str">
        <x:v>High</x:v>
      </x:c>
      <x:c r="F63" s="23" t="str">
        <x:v>MGI2020;ALLIANCE2024;UNIPROT2025;NCBIGENE2015;REACTOME2024</x:v>
      </x:c>
      <x:c r="G63" s="23" t="str">
        <x:v>https://www.informatics.jax.org/quicksearch/summary?queryType=exactPhrase&amp;query=Fcgr3</x:v>
      </x:c>
      <x:c r="H63" s="23" t="str">
        <x:v>https://www.uniprot.org/uniprotkb?query=%28gene_exact%3AFcgr3%29+AND+%28organism_id%3A10090%29</x:v>
      </x:c>
      <x:c r="I63" s="23" t="str">
        <x:v>https://www.ncbi.nlm.nih.gov/gene/?term=Fcgr3%5Bgene%5D%20AND%20Mus%20musculus%5Borgn%5D</x:v>
      </x:c>
      <x:c r="J63" s="23" t="str">
        <x:v>https://reactome.org/content/query?q=Fcgr3&amp;species=Mus%20musculus</x:v>
      </x:c>
      <x:c r="K63" s="23" t="str">
        <x:v>https://pubmed.ncbi.nlm.nih.gov/?term=(Fcgr3%5BTitle%2FAbstract%5D)%20AND%20(mouse%20OR%20murine)</x:v>
      </x:c>
    </x:row>
    <x:row r="64">
      <x:c r="A64" s="22" t="str">
        <x:v>Fcgr4</x:v>
      </x:c>
      <x:c r="B64" s="23" t="str">
        <x:v>FCGR3A (closest functional counterpart)</x:v>
      </x:c>
      <x:c r="C64" s="23" t="str">
        <x:v>Mouse activating IgG Fc-receptor signaling</x:v>
      </x:c>
      <x:c r="D64" s="23" t="str">
        <x:v>Mouse low-affinity activating Fc receptor with strong IgG2a/IgG2b recognition; closest human functional counterpart is FCGR3A, not a strict ortholog.</x:v>
      </x:c>
      <x:c r="E64" s="23" t="str">
        <x:v>High</x:v>
      </x:c>
      <x:c r="F64" s="23" t="str">
        <x:v>MGI2020;ALLIANCE2024;UNIPROT2025;NCBIGENE2015;REACTOME2024</x:v>
      </x:c>
      <x:c r="G64" s="23" t="str">
        <x:v>https://www.informatics.jax.org/quicksearch/summary?queryType=exactPhrase&amp;query=Fcgr4</x:v>
      </x:c>
      <x:c r="H64" s="23" t="str">
        <x:v>https://www.uniprot.org/uniprotkb?query=%28gene_exact%3AFcgr4%29+AND+%28organism_id%3A10090%29</x:v>
      </x:c>
      <x:c r="I64" s="23" t="str">
        <x:v>https://www.ncbi.nlm.nih.gov/gene/?term=Fcgr4%5Bgene%5D%20AND%20Mus%20musculus%5Borgn%5D</x:v>
      </x:c>
      <x:c r="J64" s="23" t="str">
        <x:v>https://reactome.org/content/query?q=Fcgr4&amp;species=Mus%20musculus</x:v>
      </x:c>
      <x:c r="K64" s="23" t="str">
        <x:v>https://pubmed.ncbi.nlm.nih.gov/?term=(Fcgr4%5BTitle%2FAbstract%5D)%20AND%20(mouse%20OR%20murine)</x:v>
      </x:c>
    </x:row>
    <x:row r="65">
      <x:c r="A65" s="22" t="str">
        <x:v>Fgd2</x:v>
      </x:c>
      <x:c r="B65" s="23" t="str">
        <x:v>FGD2</x:v>
      </x:c>
      <x:c r="C65" s="23" t="str">
        <x:v>CDC42 signaling; vesicle/cytoskeletal control</x:v>
      </x:c>
      <x:c r="D65" s="23" t="str">
        <x:v>Hematopoietic guanine-nucleotide exchange factor activating CDC42 and influencing actin organization and receptor trafficking.</x:v>
      </x:c>
      <x:c r="E65" s="23" t="str">
        <x:v>Moderate</x:v>
      </x:c>
      <x:c r="F65" s="23" t="str">
        <x:v>MGI2020;ALLIANCE2024;UNIPROT2025;NCBIGENE2015;REACTOME2024</x:v>
      </x:c>
      <x:c r="G65" s="23" t="str">
        <x:v>https://www.informatics.jax.org/quicksearch/summary?queryType=exactPhrase&amp;query=Fgd2</x:v>
      </x:c>
      <x:c r="H65" s="23" t="str">
        <x:v>https://www.uniprot.org/uniprotkb?query=%28gene_exact%3AFgd2%29+AND+%28organism_id%3A10090%29</x:v>
      </x:c>
      <x:c r="I65" s="23" t="str">
        <x:v>https://www.ncbi.nlm.nih.gov/gene/?term=Fgd2%5Bgene%5D%20AND%20Mus%20musculus%5Borgn%5D</x:v>
      </x:c>
      <x:c r="J65" s="23" t="str">
        <x:v>https://reactome.org/content/query?q=Fgd2&amp;species=Mus%20musculus</x:v>
      </x:c>
      <x:c r="K65" s="23" t="str">
        <x:v>https://pubmed.ncbi.nlm.nih.gov/?term=(Fgd2%5BTitle%2FAbstract%5D)%20AND%20(mouse%20OR%20murine)</x:v>
      </x:c>
    </x:row>
    <x:row r="66">
      <x:c r="A66" s="22" t="str">
        <x:v>Fgfr4</x:v>
      </x:c>
      <x:c r="B66" s="23" t="str">
        <x:v>FGFR4</x:v>
      </x:c>
      <x:c r="C66" s="23" t="str">
        <x:v>FGF receptor signaling; bile-acid regulation</x:v>
      </x:c>
      <x:c r="D66" s="23" t="str">
        <x:v>Receptor tyrosine kinase for endocrine FGF15/FGF19 (with KLB) and other FGFs; controls hepatic growth and bile-acid synthesis programs.</x:v>
      </x:c>
      <x:c r="E66" s="23" t="str">
        <x:v>High</x:v>
      </x:c>
      <x:c r="F66" s="23" t="str">
        <x:v>MGI2020;ALLIANCE2024;UNIPROT2025;NCBIGENE2015;REACTOME2024</x:v>
      </x:c>
      <x:c r="G66" s="23" t="str">
        <x:v>https://www.informatics.jax.org/quicksearch/summary?queryType=exactPhrase&amp;query=Fgfr4</x:v>
      </x:c>
      <x:c r="H66" s="23" t="str">
        <x:v>https://www.uniprot.org/uniprotkb?query=%28gene_exact%3AFgfr4%29+AND+%28organism_id%3A10090%29</x:v>
      </x:c>
      <x:c r="I66" s="23" t="str">
        <x:v>https://www.ncbi.nlm.nih.gov/gene/?term=Fgfr4%5Bgene%5D%20AND%20Mus%20musculus%5Borgn%5D</x:v>
      </x:c>
      <x:c r="J66" s="23" t="str">
        <x:v>https://reactome.org/content/query?q=Fgfr4&amp;species=Mus%20musculus</x:v>
      </x:c>
      <x:c r="K66" s="23" t="str">
        <x:v>https://pubmed.ncbi.nlm.nih.gov/?term=(Fgfr4%5BTitle%2FAbstract%5D)%20AND%20(mouse%20OR%20murine)</x:v>
      </x:c>
    </x:row>
    <x:row r="67">
      <x:c r="A67" s="22" t="str">
        <x:v>Fgl2</x:v>
      </x:c>
      <x:c r="B67" s="23" t="str">
        <x:v>FGL2</x:v>
      </x:c>
      <x:c r="C67" s="23" t="str">
        <x:v>Coagulation and immune regulation</x:v>
      </x:c>
      <x:c r="D67" s="23" t="str">
        <x:v>Secreted/membrane fibrinogen-like protein with context-dependent prothrombinase activity and immunoregulatory effects.</x:v>
      </x:c>
      <x:c r="E67" s="23" t="str">
        <x:v>Moderate</x:v>
      </x:c>
      <x:c r="F67" s="23" t="str">
        <x:v>MGI2020;ALLIANCE2024;UNIPROT2025;NCBIGENE2015;REACTOME2024</x:v>
      </x:c>
      <x:c r="G67" s="23" t="str">
        <x:v>https://www.informatics.jax.org/quicksearch/summary?queryType=exactPhrase&amp;query=Fgl2</x:v>
      </x:c>
      <x:c r="H67" s="23" t="str">
        <x:v>https://www.uniprot.org/uniprotkb?query=%28gene_exact%3AFgl2%29+AND+%28organism_id%3A10090%29</x:v>
      </x:c>
      <x:c r="I67" s="23" t="str">
        <x:v>https://www.ncbi.nlm.nih.gov/gene/?term=Fgl2%5Bgene%5D%20AND%20Mus%20musculus%5Borgn%5D</x:v>
      </x:c>
      <x:c r="J67" s="23" t="str">
        <x:v>https://reactome.org/content/query?q=Fgl2&amp;species=Mus%20musculus</x:v>
      </x:c>
      <x:c r="K67" s="23" t="str">
        <x:v>https://pubmed.ncbi.nlm.nih.gov/?term=(Fgl2%5BTitle%2FAbstract%5D)%20AND%20(mouse%20OR%20murine)</x:v>
      </x:c>
    </x:row>
    <x:row r="68">
      <x:c r="A68" s="22" t="str">
        <x:v>Fgr</x:v>
      </x:c>
      <x:c r="B68" s="23" t="str">
        <x:v>FGR</x:v>
      </x:c>
      <x:c r="C68" s="23" t="str">
        <x:v>Src-family kinase signaling</x:v>
      </x:c>
      <x:c r="D68" s="23" t="str">
        <x:v>Myeloid Src-family kinase downstream of integrins and immune receptors, regulating adhesion, degranulation and phagocyte activation.</x:v>
      </x:c>
      <x:c r="E68" s="23" t="str">
        <x:v>High</x:v>
      </x:c>
      <x:c r="F68" s="23" t="str">
        <x:v>MGI2020;ALLIANCE2024;UNIPROT2025;NCBIGENE2015;REACTOME2024</x:v>
      </x:c>
      <x:c r="G68" s="23" t="str">
        <x:v>https://www.informatics.jax.org/quicksearch/summary?queryType=exactPhrase&amp;query=Fgr</x:v>
      </x:c>
      <x:c r="H68" s="23" t="str">
        <x:v>https://www.uniprot.org/uniprotkb?query=%28gene_exact%3AFgr%29+AND+%28organism_id%3A10090%29</x:v>
      </x:c>
      <x:c r="I68" s="23" t="str">
        <x:v>https://www.ncbi.nlm.nih.gov/gene/?term=Fgr%5Bgene%5D%20AND%20Mus%20musculus%5Borgn%5D</x:v>
      </x:c>
      <x:c r="J68" s="23" t="str">
        <x:v>https://reactome.org/content/query?q=Fgr&amp;species=Mus%20musculus</x:v>
      </x:c>
      <x:c r="K68" s="23" t="str">
        <x:v>https://pubmed.ncbi.nlm.nih.gov/?term=(Fgr%5BTitle%2FAbstract%5D)%20AND%20(mouse%20OR%20murine)</x:v>
      </x:c>
    </x:row>
    <x:row r="69">
      <x:c r="A69" s="22" t="str">
        <x:v>Gbp2</x:v>
      </x:c>
      <x:c r="B69" s="23" t="str">
        <x:v>GBP2</x:v>
      </x:c>
      <x:c r="C69" s="23" t="str">
        <x:v>Interferon-induced cell-autonomous immunity</x:v>
      </x:c>
      <x:c r="D69" s="23" t="str">
        <x:v>Dynamin-like guanylate-binding protein that targets pathogen-containing compartments and helps license inflammasome responses in mouse macrophages.</x:v>
      </x:c>
      <x:c r="E69" s="23" t="str">
        <x:v>High</x:v>
      </x:c>
      <x:c r="F69" s="23" t="str">
        <x:v>MGI2020;ALLIANCE2024;UNIPROT2025;NCBIGENE2015;REACTOME2024</x:v>
      </x:c>
      <x:c r="G69" s="23" t="str">
        <x:v>https://www.informatics.jax.org/quicksearch/summary?queryType=exactPhrase&amp;query=Gbp2</x:v>
      </x:c>
      <x:c r="H69" s="23" t="str">
        <x:v>https://www.uniprot.org/uniprotkb?query=%28gene_exact%3AGbp2%29+AND+%28organism_id%3A10090%29</x:v>
      </x:c>
      <x:c r="I69" s="23" t="str">
        <x:v>https://www.ncbi.nlm.nih.gov/gene/?term=Gbp2%5Bgene%5D%20AND%20Mus%20musculus%5Borgn%5D</x:v>
      </x:c>
      <x:c r="J69" s="23" t="str">
        <x:v>https://reactome.org/content/query?q=Gbp2&amp;species=Mus%20musculus</x:v>
      </x:c>
      <x:c r="K69" s="23" t="str">
        <x:v>https://pubmed.ncbi.nlm.nih.gov/?term=(Gbp2%5BTitle%2FAbstract%5D)%20AND%20(mouse%20OR%20murine)</x:v>
      </x:c>
    </x:row>
    <x:row r="70">
      <x:c r="A70" s="22" t="str">
        <x:v>Gna15</x:v>
      </x:c>
      <x:c r="B70" s="23" t="str">
        <x:v>GNA15</x:v>
      </x:c>
      <x:c r="C70" s="23" t="str">
        <x:v>Heterotrimeric G-protein signaling</x:v>
      </x:c>
      <x:c r="D70" s="23" t="str">
        <x:v>G-alpha-q-family subunit linking many GPCRs to PLC-beta, calcium and MAPK signaling, especially in hematopoietic cells.</x:v>
      </x:c>
      <x:c r="E70" s="23" t="str">
        <x:v>High</x:v>
      </x:c>
      <x:c r="F70" s="23" t="str">
        <x:v>MGI2020;ALLIANCE2024;UNIPROT2025;NCBIGENE2015;REACTOME2024</x:v>
      </x:c>
      <x:c r="G70" s="23" t="str">
        <x:v>https://www.informatics.jax.org/quicksearch/summary?queryType=exactPhrase&amp;query=Gna15</x:v>
      </x:c>
      <x:c r="H70" s="23" t="str">
        <x:v>https://www.uniprot.org/uniprotkb?query=%28gene_exact%3AGna15%29+AND+%28organism_id%3A10090%29</x:v>
      </x:c>
      <x:c r="I70" s="23" t="str">
        <x:v>https://www.ncbi.nlm.nih.gov/gene/?term=Gna15%5Bgene%5D%20AND%20Mus%20musculus%5Borgn%5D</x:v>
      </x:c>
      <x:c r="J70" s="23" t="str">
        <x:v>https://reactome.org/content/query?q=Gna15&amp;species=Mus%20musculus</x:v>
      </x:c>
      <x:c r="K70" s="23" t="str">
        <x:v>https://pubmed.ncbi.nlm.nih.gov/?term=(Gna15%5BTitle%2FAbstract%5D)%20AND%20(mouse%20OR%20murine)</x:v>
      </x:c>
    </x:row>
    <x:row r="71">
      <x:c r="A71" s="22" t="str">
        <x:v>Grn</x:v>
      </x:c>
      <x:c r="B71" s="23" t="str">
        <x:v>GRN</x:v>
      </x:c>
      <x:c r="C71" s="23" t="str">
        <x:v>Lysosome homeostasis; growth and inflammation</x:v>
      </x:c>
      <x:c r="D71" s="23" t="str">
        <x:v>Progranulin is a secreted and lysosomal protein regulating lysosome function, inflammation, wound repair and neuronal survival; processed into granulins.</x:v>
      </x:c>
      <x:c r="E71" s="23" t="str">
        <x:v>High</x:v>
      </x:c>
      <x:c r="F71" s="23" t="str">
        <x:v>MGI2020;ALLIANCE2024;UNIPROT2025;NCBIGENE2015;REACTOME2024</x:v>
      </x:c>
      <x:c r="G71" s="23" t="str">
        <x:v>https://www.informatics.jax.org/quicksearch/summary?queryType=exactPhrase&amp;query=Grn</x:v>
      </x:c>
      <x:c r="H71" s="23" t="str">
        <x:v>https://www.uniprot.org/uniprotkb?query=%28gene_exact%3AGrn%29+AND+%28organism_id%3A10090%29</x:v>
      </x:c>
      <x:c r="I71" s="23" t="str">
        <x:v>https://www.ncbi.nlm.nih.gov/gene/?term=Grn%5Bgene%5D%20AND%20Mus%20musculus%5Borgn%5D</x:v>
      </x:c>
      <x:c r="J71" s="23" t="str">
        <x:v>https://reactome.org/content/query?q=Grn&amp;species=Mus%20musculus</x:v>
      </x:c>
      <x:c r="K71" s="23" t="str">
        <x:v>https://pubmed.ncbi.nlm.nih.gov/?term=(Grn%5BTitle%2FAbstract%5D)%20AND%20(mouse%20OR%20murine)</x:v>
      </x:c>
    </x:row>
    <x:row r="72">
      <x:c r="A72" s="22" t="str">
        <x:v>Gvin3</x:v>
      </x:c>
      <x:c r="B72" s="23" t="str"/>
      <x:c r="C72" s="23" t="str">
        <x:v>Interferon-induced large GTPase; poorly characterized</x:v>
      </x:c>
      <x:c r="D72" s="23" t="str">
        <x:v>Mouse interferon-inducible very-large GTPase associated with antimicrobial responses; mechanistic function and human translation are limited.</x:v>
      </x:c>
      <x:c r="E72" s="23" t="str">
        <x:v>Low</x:v>
      </x:c>
      <x:c r="F72" s="23" t="str">
        <x:v>MGI2020;ALLIANCE2024;UNIPROT2025;NCBIGENE2015;REACTOME2024</x:v>
      </x:c>
      <x:c r="G72" s="23" t="str">
        <x:v>https://www.informatics.jax.org/quicksearch/summary?queryType=exactPhrase&amp;query=Gvin3</x:v>
      </x:c>
      <x:c r="H72" s="23" t="str">
        <x:v>https://www.uniprot.org/uniprotkb?query=%28gene_exact%3AGvin3%29+AND+%28organism_id%3A10090%29</x:v>
      </x:c>
      <x:c r="I72" s="23" t="str">
        <x:v>https://www.ncbi.nlm.nih.gov/gene/?term=Gvin3%5Bgene%5D%20AND%20Mus%20musculus%5Borgn%5D</x:v>
      </x:c>
      <x:c r="J72" s="23" t="str">
        <x:v>https://reactome.org/content/query?q=Gvin3&amp;species=Mus%20musculus</x:v>
      </x:c>
      <x:c r="K72" s="23" t="str">
        <x:v>https://pubmed.ncbi.nlm.nih.gov/?term=(Gvin3%5BTitle%2FAbstract%5D)%20AND%20(mouse%20OR%20murine)</x:v>
      </x:c>
    </x:row>
    <x:row r="73">
      <x:c r="A73" s="22" t="str">
        <x:v>H2-Aa</x:v>
      </x:c>
      <x:c r="B73" s="23" t="str">
        <x:v>HLA-DQA1</x:v>
      </x:c>
      <x:c r="C73" s="23" t="str">
        <x:v>MHC-II antigen presentation</x:v>
      </x:c>
      <x:c r="D73" s="23" t="str">
        <x:v>Mouse MHC-II alpha chain contributing to I-A heterodimers that present endolysosomal peptides to CD4 T cells.</x:v>
      </x:c>
      <x:c r="E73" s="23" t="str">
        <x:v>High</x:v>
      </x:c>
      <x:c r="F73" s="23" t="str">
        <x:v>MGI2020;ALLIANCE2024;UNIPROT2025;NCBIGENE2015;REACTOME2024</x:v>
      </x:c>
      <x:c r="G73" s="23" t="str">
        <x:v>https://www.informatics.jax.org/quicksearch/summary?queryType=exactPhrase&amp;query=H2-Aa</x:v>
      </x:c>
      <x:c r="H73" s="23" t="str">
        <x:v>https://www.uniprot.org/uniprotkb?query=%28gene_exact%3AH2-Aa%29+AND+%28organism_id%3A10090%29</x:v>
      </x:c>
      <x:c r="I73" s="23" t="str">
        <x:v>https://www.ncbi.nlm.nih.gov/gene/?term=H2-Aa%5Bgene%5D%20AND%20Mus%20musculus%5Borgn%5D</x:v>
      </x:c>
      <x:c r="J73" s="23" t="str">
        <x:v>https://reactome.org/content/query?q=H2-Aa&amp;species=Mus%20musculus</x:v>
      </x:c>
      <x:c r="K73" s="23" t="str">
        <x:v>https://pubmed.ncbi.nlm.nih.gov/?term=(H2-Aa%5BTitle%2FAbstract%5D)%20AND%20(mouse%20OR%20murine)</x:v>
      </x:c>
    </x:row>
    <x:row r="74">
      <x:c r="A74" s="22" t="str">
        <x:v>H2-Ab1</x:v>
      </x:c>
      <x:c r="B74" s="23" t="str">
        <x:v>HLA-DQB1</x:v>
      </x:c>
      <x:c r="C74" s="23" t="str">
        <x:v>MHC-II antigen presentation</x:v>
      </x:c>
      <x:c r="D74" s="23" t="str">
        <x:v>Mouse MHC-II beta chain contributing to I-A heterodimers that present endolysosomal peptides to CD4 T cells.</x:v>
      </x:c>
      <x:c r="E74" s="23" t="str">
        <x:v>High</x:v>
      </x:c>
      <x:c r="F74" s="23" t="str">
        <x:v>MGI2020;ALLIANCE2024;UNIPROT2025;NCBIGENE2015;REACTOME2024</x:v>
      </x:c>
      <x:c r="G74" s="23" t="str">
        <x:v>https://www.informatics.jax.org/quicksearch/summary?queryType=exactPhrase&amp;query=H2-Ab1</x:v>
      </x:c>
      <x:c r="H74" s="23" t="str">
        <x:v>https://www.uniprot.org/uniprotkb?query=%28gene_exact%3AH2-Ab1%29+AND+%28organism_id%3A10090%29</x:v>
      </x:c>
      <x:c r="I74" s="23" t="str">
        <x:v>https://www.ncbi.nlm.nih.gov/gene/?term=H2-Ab1%5Bgene%5D%20AND%20Mus%20musculus%5Borgn%5D</x:v>
      </x:c>
      <x:c r="J74" s="23" t="str">
        <x:v>https://reactome.org/content/query?q=H2-Ab1&amp;species=Mus%20musculus</x:v>
      </x:c>
      <x:c r="K74" s="23" t="str">
        <x:v>https://pubmed.ncbi.nlm.nih.gov/?term=(H2-Ab1%5BTitle%2FAbstract%5D)%20AND%20(mouse%20OR%20murine)</x:v>
      </x:c>
    </x:row>
    <x:row r="75">
      <x:c r="A75" s="22" t="str">
        <x:v>H2-D1</x:v>
      </x:c>
      <x:c r="B75" s="23" t="str">
        <x:v>HLA-A/HLA-B/HLA-C</x:v>
      </x:c>
      <x:c r="C75" s="23" t="str">
        <x:v>MHC-I antigen presentation</x:v>
      </x:c>
      <x:c r="D75" s="23" t="str">
        <x:v>Classical mouse MHC-I heavy chain presenting cytosolic peptides to CD8 T cells and interacting with NK-cell receptors.</x:v>
      </x:c>
      <x:c r="E75" s="23" t="str">
        <x:v>High</x:v>
      </x:c>
      <x:c r="F75" s="23" t="str">
        <x:v>MGI2020;ALLIANCE2024;UNIPROT2025;NCBIGENE2015;REACTOME2024</x:v>
      </x:c>
      <x:c r="G75" s="23" t="str">
        <x:v>https://www.informatics.jax.org/quicksearch/summary?queryType=exactPhrase&amp;query=H2-D1</x:v>
      </x:c>
      <x:c r="H75" s="23" t="str">
        <x:v>https://www.uniprot.org/uniprotkb?query=%28gene_exact%3AH2-D1%29+AND+%28organism_id%3A10090%29</x:v>
      </x:c>
      <x:c r="I75" s="23" t="str">
        <x:v>https://www.ncbi.nlm.nih.gov/gene/?term=H2-D1%5Bgene%5D%20AND%20Mus%20musculus%5Borgn%5D</x:v>
      </x:c>
      <x:c r="J75" s="23" t="str">
        <x:v>https://reactome.org/content/query?q=H2-D1&amp;species=Mus%20musculus</x:v>
      </x:c>
      <x:c r="K75" s="23" t="str">
        <x:v>https://pubmed.ncbi.nlm.nih.gov/?term=(H2-D1%5BTitle%2FAbstract%5D)%20AND%20(mouse%20OR%20murine)</x:v>
      </x:c>
    </x:row>
    <x:row r="76">
      <x:c r="A76" s="22" t="str">
        <x:v>H2-Eb1</x:v>
      </x:c>
      <x:c r="B76" s="23" t="str">
        <x:v>HLA-DRB1 family</x:v>
      </x:c>
      <x:c r="C76" s="23" t="str">
        <x:v>MHC-II antigen presentation</x:v>
      </x:c>
      <x:c r="D76" s="23" t="str">
        <x:v>Mouse MHC-II beta chain contributing to I-E complexes that present peptides to CD4 T cells.</x:v>
      </x:c>
      <x:c r="E76" s="23" t="str">
        <x:v>High</x:v>
      </x:c>
      <x:c r="F76" s="23" t="str">
        <x:v>MGI2020;ALLIANCE2024;UNIPROT2025;NCBIGENE2015;REACTOME2024</x:v>
      </x:c>
      <x:c r="G76" s="23" t="str">
        <x:v>https://www.informatics.jax.org/quicksearch/summary?queryType=exactPhrase&amp;query=H2-Eb1</x:v>
      </x:c>
      <x:c r="H76" s="23" t="str">
        <x:v>https://www.uniprot.org/uniprotkb?query=%28gene_exact%3AH2-Eb1%29+AND+%28organism_id%3A10090%29</x:v>
      </x:c>
      <x:c r="I76" s="23" t="str">
        <x:v>https://www.ncbi.nlm.nih.gov/gene/?term=H2-Eb1%5Bgene%5D%20AND%20Mus%20musculus%5Borgn%5D</x:v>
      </x:c>
      <x:c r="J76" s="23" t="str">
        <x:v>https://reactome.org/content/query?q=H2-Eb1&amp;species=Mus%20musculus</x:v>
      </x:c>
      <x:c r="K76" s="23" t="str">
        <x:v>https://pubmed.ncbi.nlm.nih.gov/?term=(H2-Eb1%5BTitle%2FAbstract%5D)%20AND%20(mouse%20OR%20murine)</x:v>
      </x:c>
    </x:row>
    <x:row r="77">
      <x:c r="A77" s="22" t="str">
        <x:v>H2-K1</x:v>
      </x:c>
      <x:c r="B77" s="23" t="str">
        <x:v>HLA-A/HLA-B/HLA-C</x:v>
      </x:c>
      <x:c r="C77" s="23" t="str">
        <x:v>MHC-I antigen presentation</x:v>
      </x:c>
      <x:c r="D77" s="23" t="str">
        <x:v>Classical mouse MHC-I heavy chain presenting cytosolic peptides to CD8 T cells and regulating NK-cell recognition.</x:v>
      </x:c>
      <x:c r="E77" s="23" t="str">
        <x:v>High</x:v>
      </x:c>
      <x:c r="F77" s="23" t="str">
        <x:v>MGI2020;ALLIANCE2024;UNIPROT2025;NCBIGENE2015;REACTOME2024</x:v>
      </x:c>
      <x:c r="G77" s="23" t="str">
        <x:v>https://www.informatics.jax.org/quicksearch/summary?queryType=exactPhrase&amp;query=H2-K1</x:v>
      </x:c>
      <x:c r="H77" s="23" t="str">
        <x:v>https://www.uniprot.org/uniprotkb?query=%28gene_exact%3AH2-K1%29+AND+%28organism_id%3A10090%29</x:v>
      </x:c>
      <x:c r="I77" s="23" t="str">
        <x:v>https://www.ncbi.nlm.nih.gov/gene/?term=H2-K1%5Bgene%5D%20AND%20Mus%20musculus%5Borgn%5D</x:v>
      </x:c>
      <x:c r="J77" s="23" t="str">
        <x:v>https://reactome.org/content/query?q=H2-K1&amp;species=Mus%20musculus</x:v>
      </x:c>
      <x:c r="K77" s="23" t="str">
        <x:v>https://pubmed.ncbi.nlm.nih.gov/?term=(H2-K1%5BTitle%2FAbstract%5D)%20AND%20(mouse%20OR%20murine)</x:v>
      </x:c>
    </x:row>
    <x:row r="78">
      <x:c r="A78" s="22" t="str">
        <x:v>H2-M3</x:v>
      </x:c>
      <x:c r="B78" s="23" t="str">
        <x:v>HLA-E/HLA-G (functional analogs)</x:v>
      </x:c>
      <x:c r="C78" s="23" t="str">
        <x:v>Nonclassical MHC-I antigen presentation</x:v>
      </x:c>
      <x:c r="D78" s="23" t="str">
        <x:v>Mouse nonclassical MHC-I molecule specialized for presentation of N-formylated microbial/mitochondrial peptides.</x:v>
      </x:c>
      <x:c r="E78" s="23" t="str">
        <x:v>High</x:v>
      </x:c>
      <x:c r="F78" s="23" t="str">
        <x:v>MGI2020;ALLIANCE2024;UNIPROT2025;NCBIGENE2015;REACTOME2024</x:v>
      </x:c>
      <x:c r="G78" s="23" t="str">
        <x:v>https://www.informatics.jax.org/quicksearch/summary?queryType=exactPhrase&amp;query=H2-M3</x:v>
      </x:c>
      <x:c r="H78" s="23" t="str">
        <x:v>https://www.uniprot.org/uniprotkb?query=%28gene_exact%3AH2-M3%29+AND+%28organism_id%3A10090%29</x:v>
      </x:c>
      <x:c r="I78" s="23" t="str">
        <x:v>https://www.ncbi.nlm.nih.gov/gene/?term=H2-M3%5Bgene%5D%20AND%20Mus%20musculus%5Borgn%5D</x:v>
      </x:c>
      <x:c r="J78" s="23" t="str">
        <x:v>https://reactome.org/content/query?q=H2-M3&amp;species=Mus%20musculus</x:v>
      </x:c>
      <x:c r="K78" s="23" t="str">
        <x:v>https://pubmed.ncbi.nlm.nih.gov/?term=(H2-M3%5BTitle%2FAbstract%5D)%20AND%20(mouse%20OR%20murine)</x:v>
      </x:c>
    </x:row>
    <x:row r="79">
      <x:c r="A79" s="22" t="str">
        <x:v>H2-T22</x:v>
      </x:c>
      <x:c r="B79" s="23" t="str"/>
      <x:c r="C79" s="23" t="str">
        <x:v>Nonclassical MHC-I; gamma-delta T-cell recognition</x:v>
      </x:c>
      <x:c r="D79" s="23" t="str">
        <x:v>Mouse nonclassical MHC-Ib ligand recognized by subsets of gamma-delta T cells; lacks a strict human ortholog.</x:v>
      </x:c>
      <x:c r="E79" s="23" t="str">
        <x:v>Moderate</x:v>
      </x:c>
      <x:c r="F79" s="23" t="str">
        <x:v>MGI2020;ALLIANCE2024;UNIPROT2025;NCBIGENE2015;REACTOME2024</x:v>
      </x:c>
      <x:c r="G79" s="23" t="str">
        <x:v>https://www.informatics.jax.org/quicksearch/summary?queryType=exactPhrase&amp;query=H2-T22</x:v>
      </x:c>
      <x:c r="H79" s="23" t="str">
        <x:v>https://www.uniprot.org/uniprotkb?query=%28gene_exact%3AH2-T22%29+AND+%28organism_id%3A10090%29</x:v>
      </x:c>
      <x:c r="I79" s="23" t="str">
        <x:v>https://www.ncbi.nlm.nih.gov/gene/?term=H2-T22%5Bgene%5D%20AND%20Mus%20musculus%5Borgn%5D</x:v>
      </x:c>
      <x:c r="J79" s="23" t="str">
        <x:v>https://reactome.org/content/query?q=H2-T22&amp;species=Mus%20musculus</x:v>
      </x:c>
      <x:c r="K79" s="23" t="str">
        <x:v>https://pubmed.ncbi.nlm.nih.gov/?term=(H2-T22%5BTitle%2FAbstract%5D)%20AND%20(mouse%20OR%20murine)</x:v>
      </x:c>
    </x:row>
    <x:row r="80">
      <x:c r="A80" s="22" t="str">
        <x:v>H2-T23</x:v>
      </x:c>
      <x:c r="B80" s="23" t="str"/>
      <x:c r="C80" s="23" t="str">
        <x:v>Nonclassical MHC-I; gamma-delta T-cell recognition</x:v>
      </x:c>
      <x:c r="D80" s="23" t="str">
        <x:v>Mouse nonclassical MHC-Ib ligand (T10 family) recognized by subsets of gamma-delta T cells.</x:v>
      </x:c>
      <x:c r="E80" s="23" t="str">
        <x:v>Moderate</x:v>
      </x:c>
      <x:c r="F80" s="23" t="str">
        <x:v>MGI2020;ALLIANCE2024;UNIPROT2025;NCBIGENE2015;REACTOME2024</x:v>
      </x:c>
      <x:c r="G80" s="23" t="str">
        <x:v>https://www.informatics.jax.org/quicksearch/summary?queryType=exactPhrase&amp;query=H2-T23</x:v>
      </x:c>
      <x:c r="H80" s="23" t="str">
        <x:v>https://www.uniprot.org/uniprotkb?query=%28gene_exact%3AH2-T23%29+AND+%28organism_id%3A10090%29</x:v>
      </x:c>
      <x:c r="I80" s="23" t="str">
        <x:v>https://www.ncbi.nlm.nih.gov/gene/?term=H2-T23%5Bgene%5D%20AND%20Mus%20musculus%5Borgn%5D</x:v>
      </x:c>
      <x:c r="J80" s="23" t="str">
        <x:v>https://reactome.org/content/query?q=H2-T23&amp;species=Mus%20musculus</x:v>
      </x:c>
      <x:c r="K80" s="23" t="str">
        <x:v>https://pubmed.ncbi.nlm.nih.gov/?term=(H2-T23%5BTitle%2FAbstract%5D)%20AND%20(mouse%20OR%20murine)</x:v>
      </x:c>
    </x:row>
    <x:row r="81">
      <x:c r="A81" s="22" t="str">
        <x:v>Hcar2</x:v>
      </x:c>
      <x:c r="B81" s="23" t="str">
        <x:v>HCAR2</x:v>
      </x:c>
      <x:c r="C81" s="23" t="str">
        <x:v>Hydroxycarboxylic-acid receptor; anti-lipolytic and immune signaling</x:v>
      </x:c>
      <x:c r="D81" s="23" t="str">
        <x:v>Gi-coupled receptor for beta-hydroxybutyrate and nicotinic acid; lowers cAMP and suppresses adipocyte lipolysis while modulating myeloid inflammation.</x:v>
      </x:c>
      <x:c r="E81" s="23" t="str">
        <x:v>High</x:v>
      </x:c>
      <x:c r="F81" s="23" t="str">
        <x:v>MGI2020;ALLIANCE2024;UNIPROT2025;NCBIGENE2015;REACTOME2024</x:v>
      </x:c>
      <x:c r="G81" s="23" t="str">
        <x:v>https://www.informatics.jax.org/quicksearch/summary?queryType=exactPhrase&amp;query=Hcar2</x:v>
      </x:c>
      <x:c r="H81" s="23" t="str">
        <x:v>https://www.uniprot.org/uniprotkb?query=%28gene_exact%3AHcar2%29+AND+%28organism_id%3A10090%29</x:v>
      </x:c>
      <x:c r="I81" s="23" t="str">
        <x:v>https://www.ncbi.nlm.nih.gov/gene/?term=Hcar2%5Bgene%5D%20AND%20Mus%20musculus%5Borgn%5D</x:v>
      </x:c>
      <x:c r="J81" s="23" t="str">
        <x:v>https://reactome.org/content/query?q=Hcar2&amp;species=Mus%20musculus</x:v>
      </x:c>
      <x:c r="K81" s="23" t="str">
        <x:v>https://pubmed.ncbi.nlm.nih.gov/?term=(Hcar2%5BTitle%2FAbstract%5D)%20AND%20(mouse%20OR%20murine)</x:v>
      </x:c>
    </x:row>
    <x:row r="82">
      <x:c r="A82" s="22" t="str">
        <x:v>Hck</x:v>
      </x:c>
      <x:c r="B82" s="23" t="str">
        <x:v>HCK</x:v>
      </x:c>
      <x:c r="C82" s="23" t="str">
        <x:v>Src-family kinase signaling</x:v>
      </x:c>
      <x:c r="D82" s="23" t="str">
        <x:v>Myeloid Src-family kinase downstream of Fc/integrin/cytokine receptors, controlling phagocytosis, migration and inflammatory signaling.</x:v>
      </x:c>
      <x:c r="E82" s="23" t="str">
        <x:v>High</x:v>
      </x:c>
      <x:c r="F82" s="23" t="str">
        <x:v>MGI2020;ALLIANCE2024;UNIPROT2025;NCBIGENE2015;REACTOME2024</x:v>
      </x:c>
      <x:c r="G82" s="23" t="str">
        <x:v>https://www.informatics.jax.org/quicksearch/summary?queryType=exactPhrase&amp;query=Hck</x:v>
      </x:c>
      <x:c r="H82" s="23" t="str">
        <x:v>https://www.uniprot.org/uniprotkb?query=%28gene_exact%3AHck%29+AND+%28organism_id%3A10090%29</x:v>
      </x:c>
      <x:c r="I82" s="23" t="str">
        <x:v>https://www.ncbi.nlm.nih.gov/gene/?term=Hck%5Bgene%5D%20AND%20Mus%20musculus%5Borgn%5D</x:v>
      </x:c>
      <x:c r="J82" s="23" t="str">
        <x:v>https://reactome.org/content/query?q=Hck&amp;species=Mus%20musculus</x:v>
      </x:c>
      <x:c r="K82" s="23" t="str">
        <x:v>https://pubmed.ncbi.nlm.nih.gov/?term=(Hck%5BTitle%2FAbstract%5D)%20AND%20(mouse%20OR%20murine)</x:v>
      </x:c>
    </x:row>
    <x:row r="83">
      <x:c r="A83" s="22" t="str">
        <x:v>Hk3</x:v>
      </x:c>
      <x:c r="B83" s="23" t="str">
        <x:v>HK3</x:v>
      </x:c>
      <x:c r="C83" s="23" t="str">
        <x:v>Glycolysis</x:v>
      </x:c>
      <x:c r="D83" s="23" t="str">
        <x:v>Hexokinase isozyme that phosphorylates glucose to glucose-6-phosphate, committing glucose to intracellular metabolism.</x:v>
      </x:c>
      <x:c r="E83" s="23" t="str">
        <x:v>High</x:v>
      </x:c>
      <x:c r="F83" s="23" t="str">
        <x:v>MGI2020;ALLIANCE2024;UNIPROT2025;NCBIGENE2015;REACTOME2024</x:v>
      </x:c>
      <x:c r="G83" s="23" t="str">
        <x:v>https://www.informatics.jax.org/quicksearch/summary?queryType=exactPhrase&amp;query=Hk3</x:v>
      </x:c>
      <x:c r="H83" s="23" t="str">
        <x:v>https://www.uniprot.org/uniprotkb?query=%28gene_exact%3AHk3%29+AND+%28organism_id%3A10090%29</x:v>
      </x:c>
      <x:c r="I83" s="23" t="str">
        <x:v>https://www.ncbi.nlm.nih.gov/gene/?term=Hk3%5Bgene%5D%20AND%20Mus%20musculus%5Borgn%5D</x:v>
      </x:c>
      <x:c r="J83" s="23" t="str">
        <x:v>https://reactome.org/content/query?q=Hk3&amp;species=Mus%20musculus</x:v>
      </x:c>
      <x:c r="K83" s="23" t="str">
        <x:v>https://pubmed.ncbi.nlm.nih.gov/?term=(Hk3%5BTitle%2FAbstract%5D)%20AND%20(mouse%20OR%20murine)</x:v>
      </x:c>
    </x:row>
    <x:row r="84">
      <x:c r="A84" s="22" t="str">
        <x:v>Hp</x:v>
      </x:c>
      <x:c r="B84" s="23" t="str">
        <x:v>HP</x:v>
      </x:c>
      <x:c r="C84" s="23" t="str">
        <x:v>Hemoglobin scavenging; heme/iron protection</x:v>
      </x:c>
      <x:c r="D84" s="23" t="str">
        <x:v>Secreted haptoglobin binds free hemoglobin, limits heme-driven oxidative damage and enables CD163-mediated clearance.</x:v>
      </x:c>
      <x:c r="E84" s="23" t="str">
        <x:v>High</x:v>
      </x:c>
      <x:c r="F84" s="23" t="str">
        <x:v>MGI2020;ALLIANCE2024;UNIPROT2025;NCBIGENE2015;REACTOME2024</x:v>
      </x:c>
      <x:c r="G84" s="23" t="str">
        <x:v>https://www.informatics.jax.org/quicksearch/summary?queryType=exactPhrase&amp;query=Hp</x:v>
      </x:c>
      <x:c r="H84" s="23" t="str">
        <x:v>https://www.uniprot.org/uniprotkb?query=%28gene_exact%3AHp%29+AND+%28organism_id%3A10090%29</x:v>
      </x:c>
      <x:c r="I84" s="23" t="str">
        <x:v>https://www.ncbi.nlm.nih.gov/gene/?term=Hp%5Bgene%5D%20AND%20Mus%20musculus%5Borgn%5D</x:v>
      </x:c>
      <x:c r="J84" s="23" t="str">
        <x:v>https://reactome.org/content/query?q=Hp&amp;species=Mus%20musculus</x:v>
      </x:c>
      <x:c r="K84" s="23" t="str">
        <x:v>https://pubmed.ncbi.nlm.nih.gov/?term=(Hp%5BTitle%2FAbstract%5D)%20AND%20(mouse%20OR%20murine)</x:v>
      </x:c>
    </x:row>
    <x:row r="85">
      <x:c r="A85" s="22" t="str">
        <x:v>Hspbp1</x:v>
      </x:c>
      <x:c r="B85" s="23" t="str">
        <x:v>HSPBP1</x:v>
      </x:c>
      <x:c r="C85" s="23" t="str">
        <x:v>Chaperone regulation</x:v>
      </x:c>
      <x:c r="D85" s="23" t="str">
        <x:v>Nucleotide-exchange/co-chaperone protein that regulates HSP70 activity and protein quality-control decisions.</x:v>
      </x:c>
      <x:c r="E85" s="23" t="str">
        <x:v>High</x:v>
      </x:c>
      <x:c r="F85" s="23" t="str">
        <x:v>MGI2020;ALLIANCE2024;UNIPROT2025;NCBIGENE2015;REACTOME2024</x:v>
      </x:c>
      <x:c r="G85" s="23" t="str">
        <x:v>https://www.informatics.jax.org/quicksearch/summary?queryType=exactPhrase&amp;query=Hspbp1</x:v>
      </x:c>
      <x:c r="H85" s="23" t="str">
        <x:v>https://www.uniprot.org/uniprotkb?query=%28gene_exact%3AHspbp1%29+AND+%28organism_id%3A10090%29</x:v>
      </x:c>
      <x:c r="I85" s="23" t="str">
        <x:v>https://www.ncbi.nlm.nih.gov/gene/?term=Hspbp1%5Bgene%5D%20AND%20Mus%20musculus%5Borgn%5D</x:v>
      </x:c>
      <x:c r="J85" s="23" t="str">
        <x:v>https://reactome.org/content/query?q=Hspbp1&amp;species=Mus%20musculus</x:v>
      </x:c>
      <x:c r="K85" s="23" t="str">
        <x:v>https://pubmed.ncbi.nlm.nih.gov/?term=(Hspbp1%5BTitle%2FAbstract%5D)%20AND%20(mouse%20OR%20murine)</x:v>
      </x:c>
    </x:row>
    <x:row r="86">
      <x:c r="A86" s="22" t="str">
        <x:v>Ifi204</x:v>
      </x:c>
      <x:c r="B86" s="23" t="str">
        <x:v>IFI16/PYHIN1 (family analogs)</x:v>
      </x:c>
      <x:c r="C86" s="23" t="str">
        <x:v>Cytosolic DNA sensing; interferon/inflammasome signaling</x:v>
      </x:c>
      <x:c r="D86" s="23" t="str">
        <x:v>Mouse PYHIN-family DNA-binding protein involved in innate DNA sensing, transcriptional control and context-dependent inflammasome or growth-arrest responses.</x:v>
      </x:c>
      <x:c r="E86" s="23" t="str">
        <x:v>Moderate</x:v>
      </x:c>
      <x:c r="F86" s="23" t="str">
        <x:v>MGI2020;ALLIANCE2024;UNIPROT2025;NCBIGENE2015;REACTOME2024</x:v>
      </x:c>
      <x:c r="G86" s="23" t="str">
        <x:v>https://www.informatics.jax.org/quicksearch/summary?queryType=exactPhrase&amp;query=Ifi204</x:v>
      </x:c>
      <x:c r="H86" s="23" t="str">
        <x:v>https://www.uniprot.org/uniprotkb?query=%28gene_exact%3AIfi204%29+AND+%28organism_id%3A10090%29</x:v>
      </x:c>
      <x:c r="I86" s="23" t="str">
        <x:v>https://www.ncbi.nlm.nih.gov/gene/?term=Ifi204%5Bgene%5D%20AND%20Mus%20musculus%5Borgn%5D</x:v>
      </x:c>
      <x:c r="J86" s="23" t="str">
        <x:v>https://reactome.org/content/query?q=Ifi204&amp;species=Mus%20musculus</x:v>
      </x:c>
      <x:c r="K86" s="23" t="str">
        <x:v>https://pubmed.ncbi.nlm.nih.gov/?term=(Ifi204%5BTitle%2FAbstract%5D)%20AND%20(mouse%20OR%20murine)</x:v>
      </x:c>
    </x:row>
    <x:row r="87">
      <x:c r="A87" s="22" t="str">
        <x:v>Ifi207</x:v>
      </x:c>
      <x:c r="B87" s="23" t="str"/>
      <x:c r="C87" s="23" t="str">
        <x:v>Interferon response; poorly characterized</x:v>
      </x:c>
      <x:c r="D87" s="23" t="str">
        <x:v>Mouse interferon-inducible gene with limited mechanistic characterization and no confident human ortholog.</x:v>
      </x:c>
      <x:c r="E87" s="23" t="str">
        <x:v>Low</x:v>
      </x:c>
      <x:c r="F87" s="23" t="str">
        <x:v>MGI2020;ALLIANCE2024;UNIPROT2025;NCBIGENE2015;REACTOME2024</x:v>
      </x:c>
      <x:c r="G87" s="23" t="str">
        <x:v>https://www.informatics.jax.org/quicksearch/summary?queryType=exactPhrase&amp;query=Ifi207</x:v>
      </x:c>
      <x:c r="H87" s="23" t="str">
        <x:v>https://www.uniprot.org/uniprotkb?query=%28gene_exact%3AIfi207%29+AND+%28organism_id%3A10090%29</x:v>
      </x:c>
      <x:c r="I87" s="23" t="str">
        <x:v>https://www.ncbi.nlm.nih.gov/gene/?term=Ifi207%5Bgene%5D%20AND%20Mus%20musculus%5Borgn%5D</x:v>
      </x:c>
      <x:c r="J87" s="23" t="str">
        <x:v>https://reactome.org/content/query?q=Ifi207&amp;species=Mus%20musculus</x:v>
      </x:c>
      <x:c r="K87" s="23" t="str">
        <x:v>https://pubmed.ncbi.nlm.nih.gov/?term=(Ifi207%5BTitle%2FAbstract%5D)%20AND%20(mouse%20OR%20murine)</x:v>
      </x:c>
    </x:row>
    <x:row r="88">
      <x:c r="A88" s="22" t="str">
        <x:v>Ifi27l2a</x:v>
      </x:c>
      <x:c r="B88" s="23" t="str">
        <x:v>IFI27L2</x:v>
      </x:c>
      <x:c r="C88" s="23" t="str">
        <x:v>Interferon response; mitochondrial/stress biology</x:v>
      </x:c>
      <x:c r="D88" s="23" t="str">
        <x:v>Interferon-inducible small protein associated with antiviral and stress responses; reported death effects are context dependent.</x:v>
      </x:c>
      <x:c r="E88" s="23" t="str">
        <x:v>Moderate</x:v>
      </x:c>
      <x:c r="F88" s="23" t="str">
        <x:v>MGI2020;ALLIANCE2024;UNIPROT2025;NCBIGENE2015;REACTOME2024</x:v>
      </x:c>
      <x:c r="G88" s="23" t="str">
        <x:v>https://www.informatics.jax.org/quicksearch/summary?queryType=exactPhrase&amp;query=Ifi27l2a</x:v>
      </x:c>
      <x:c r="H88" s="23" t="str">
        <x:v>https://www.uniprot.org/uniprotkb?query=%28gene_exact%3AIfi27l2a%29+AND+%28organism_id%3A10090%29</x:v>
      </x:c>
      <x:c r="I88" s="23" t="str">
        <x:v>https://www.ncbi.nlm.nih.gov/gene/?term=Ifi27l2a%5Bgene%5D%20AND%20Mus%20musculus%5Borgn%5D</x:v>
      </x:c>
      <x:c r="J88" s="23" t="str">
        <x:v>https://reactome.org/content/query?q=Ifi27l2a&amp;species=Mus%20musculus</x:v>
      </x:c>
      <x:c r="K88" s="23" t="str">
        <x:v>https://pubmed.ncbi.nlm.nih.gov/?term=(Ifi27l2a%5BTitle%2FAbstract%5D)%20AND%20(mouse%20OR%20murine)</x:v>
      </x:c>
    </x:row>
    <x:row r="89">
      <x:c r="A89" s="22" t="str">
        <x:v>Ifi30</x:v>
      </x:c>
      <x:c r="B89" s="23" t="str">
        <x:v>IFI30</x:v>
      </x:c>
      <x:c r="C89" s="23" t="str">
        <x:v>Endolysosomal redox processing; antigen presentation</x:v>
      </x:c>
      <x:c r="D89" s="23" t="str">
        <x:v>Gamma-interferon-inducible lysosomal thiol reductase that reduces disulfide bonds in internalized proteins to facilitate MHC-II processing.</x:v>
      </x:c>
      <x:c r="E89" s="23" t="str">
        <x:v>High</x:v>
      </x:c>
      <x:c r="F89" s="23" t="str">
        <x:v>MGI2020;ALLIANCE2024;UNIPROT2025;NCBIGENE2015;REACTOME2024</x:v>
      </x:c>
      <x:c r="G89" s="23" t="str">
        <x:v>https://www.informatics.jax.org/quicksearch/summary?queryType=exactPhrase&amp;query=Ifi30</x:v>
      </x:c>
      <x:c r="H89" s="23" t="str">
        <x:v>https://www.uniprot.org/uniprotkb?query=%28gene_exact%3AIfi30%29+AND+%28organism_id%3A10090%29</x:v>
      </x:c>
      <x:c r="I89" s="23" t="str">
        <x:v>https://www.ncbi.nlm.nih.gov/gene/?term=Ifi30%5Bgene%5D%20AND%20Mus%20musculus%5Borgn%5D</x:v>
      </x:c>
      <x:c r="J89" s="23" t="str">
        <x:v>https://reactome.org/content/query?q=Ifi30&amp;species=Mus%20musculus</x:v>
      </x:c>
      <x:c r="K89" s="23" t="str">
        <x:v>https://pubmed.ncbi.nlm.nih.gov/?term=(Ifi30%5BTitle%2FAbstract%5D)%20AND%20(mouse%20OR%20murine)</x:v>
      </x:c>
    </x:row>
    <x:row r="90">
      <x:c r="A90" s="22" t="str">
        <x:v>Ifitm1</x:v>
      </x:c>
      <x:c r="B90" s="23" t="str">
        <x:v>IFITM1</x:v>
      </x:c>
      <x:c r="C90" s="23" t="str">
        <x:v>Antiviral membrane restriction</x:v>
      </x:c>
      <x:c r="D90" s="23" t="str">
        <x:v>Interferon-induced transmembrane protein that alters endosomal/plasma-membrane properties and restricts entry of selected enveloped viruses.</x:v>
      </x:c>
      <x:c r="E90" s="23" t="str">
        <x:v>High</x:v>
      </x:c>
      <x:c r="F90" s="23" t="str">
        <x:v>MGI2020;ALLIANCE2024;UNIPROT2025;NCBIGENE2015;REACTOME2024</x:v>
      </x:c>
      <x:c r="G90" s="23" t="str">
        <x:v>https://www.informatics.jax.org/quicksearch/summary?queryType=exactPhrase&amp;query=Ifitm1</x:v>
      </x:c>
      <x:c r="H90" s="23" t="str">
        <x:v>https://www.uniprot.org/uniprotkb?query=%28gene_exact%3AIfitm1%29+AND+%28organism_id%3A10090%29</x:v>
      </x:c>
      <x:c r="I90" s="23" t="str">
        <x:v>https://www.ncbi.nlm.nih.gov/gene/?term=Ifitm1%5Bgene%5D%20AND%20Mus%20musculus%5Borgn%5D</x:v>
      </x:c>
      <x:c r="J90" s="23" t="str">
        <x:v>https://reactome.org/content/query?q=Ifitm1&amp;species=Mus%20musculus</x:v>
      </x:c>
      <x:c r="K90" s="23" t="str">
        <x:v>https://pubmed.ncbi.nlm.nih.gov/?term=(Ifitm1%5BTitle%2FAbstract%5D)%20AND%20(mouse%20OR%20murine)</x:v>
      </x:c>
    </x:row>
    <x:row r="91">
      <x:c r="A91" s="22" t="str">
        <x:v>Ifitm3</x:v>
      </x:c>
      <x:c r="B91" s="23" t="str">
        <x:v>IFITM3</x:v>
      </x:c>
      <x:c r="C91" s="23" t="str">
        <x:v>Antiviral membrane restriction</x:v>
      </x:c>
      <x:c r="D91" s="23" t="str">
        <x:v>Endolysosomal interferon-induced transmembrane protein restricting fusion/entry of influenza and multiple enveloped viruses.</x:v>
      </x:c>
      <x:c r="E91" s="23" t="str">
        <x:v>High</x:v>
      </x:c>
      <x:c r="F91" s="23" t="str">
        <x:v>MGI2020;ALLIANCE2024;UNIPROT2025;NCBIGENE2015;REACTOME2024</x:v>
      </x:c>
      <x:c r="G91" s="23" t="str">
        <x:v>https://www.informatics.jax.org/quicksearch/summary?queryType=exactPhrase&amp;query=Ifitm3</x:v>
      </x:c>
      <x:c r="H91" s="23" t="str">
        <x:v>https://www.uniprot.org/uniprotkb?query=%28gene_exact%3AIfitm3%29+AND+%28organism_id%3A10090%29</x:v>
      </x:c>
      <x:c r="I91" s="23" t="str">
        <x:v>https://www.ncbi.nlm.nih.gov/gene/?term=Ifitm3%5Bgene%5D%20AND%20Mus%20musculus%5Borgn%5D</x:v>
      </x:c>
      <x:c r="J91" s="23" t="str">
        <x:v>https://reactome.org/content/query?q=Ifitm3&amp;species=Mus%20musculus</x:v>
      </x:c>
      <x:c r="K91" s="23" t="str">
        <x:v>https://pubmed.ncbi.nlm.nih.gov/?term=(Ifitm3%5BTitle%2FAbstract%5D)%20AND%20(mouse%20OR%20murine)</x:v>
      </x:c>
    </x:row>
    <x:row r="92">
      <x:c r="A92" s="22" t="str">
        <x:v>Igtp</x:v>
      </x:c>
      <x:c r="B92" s="23" t="str">
        <x:v>IRGM (distant functional analog)</x:v>
      </x:c>
      <x:c r="C92" s="23" t="str">
        <x:v>Interferon-induced cell-autonomous immunity</x:v>
      </x:c>
      <x:c r="D92" s="23" t="str">
        <x:v>Mouse immunity-related GTPase that supports resistance to intracellular pathogens; human IRGM is only a distant functional analog.</x:v>
      </x:c>
      <x:c r="E92" s="23" t="str">
        <x:v>High</x:v>
      </x:c>
      <x:c r="F92" s="23" t="str">
        <x:v>MGI2020;ALLIANCE2024;UNIPROT2025;NCBIGENE2015;REACTOME2024</x:v>
      </x:c>
      <x:c r="G92" s="23" t="str">
        <x:v>https://www.informatics.jax.org/quicksearch/summary?queryType=exactPhrase&amp;query=Igtp</x:v>
      </x:c>
      <x:c r="H92" s="23" t="str">
        <x:v>https://www.uniprot.org/uniprotkb?query=%28gene_exact%3AIgtp%29+AND+%28organism_id%3A10090%29</x:v>
      </x:c>
      <x:c r="I92" s="23" t="str">
        <x:v>https://www.ncbi.nlm.nih.gov/gene/?term=Igtp%5Bgene%5D%20AND%20Mus%20musculus%5Borgn%5D</x:v>
      </x:c>
      <x:c r="J92" s="23" t="str">
        <x:v>https://reactome.org/content/query?q=Igtp&amp;species=Mus%20musculus</x:v>
      </x:c>
      <x:c r="K92" s="23" t="str">
        <x:v>https://pubmed.ncbi.nlm.nih.gov/?term=(Igtp%5BTitle%2FAbstract%5D)%20AND%20(mouse%20OR%20murine)</x:v>
      </x:c>
    </x:row>
    <x:row r="93">
      <x:c r="A93" s="22" t="str">
        <x:v>Il10ra</x:v>
      </x:c>
      <x:c r="B93" s="23" t="str">
        <x:v>IL10RA</x:v>
      </x:c>
      <x:c r="C93" s="23" t="str">
        <x:v>IL-10 anti-inflammatory signaling</x:v>
      </x:c>
      <x:c r="D93" s="23" t="str">
        <x:v>Ligand-binding IL-10 receptor chain that pairs with IL10RB to activate JAK1/TYK2-STAT3 and restrain inflammatory programs.</x:v>
      </x:c>
      <x:c r="E93" s="23" t="str">
        <x:v>High</x:v>
      </x:c>
      <x:c r="F93" s="23" t="str">
        <x:v>MGI2020;ALLIANCE2024;UNIPROT2025;NCBIGENE2015;REACTOME2024</x:v>
      </x:c>
      <x:c r="G93" s="23" t="str">
        <x:v>https://www.informatics.jax.org/quicksearch/summary?queryType=exactPhrase&amp;query=Il10ra</x:v>
      </x:c>
      <x:c r="H93" s="23" t="str">
        <x:v>https://www.uniprot.org/uniprotkb?query=%28gene_exact%3AIl10ra%29+AND+%28organism_id%3A10090%29</x:v>
      </x:c>
      <x:c r="I93" s="23" t="str">
        <x:v>https://www.ncbi.nlm.nih.gov/gene/?term=Il10ra%5Bgene%5D%20AND%20Mus%20musculus%5Borgn%5D</x:v>
      </x:c>
      <x:c r="J93" s="23" t="str">
        <x:v>https://reactome.org/content/query?q=Il10ra&amp;species=Mus%20musculus</x:v>
      </x:c>
      <x:c r="K93" s="23" t="str">
        <x:v>https://pubmed.ncbi.nlm.nih.gov/?term=(Il10ra%5BTitle%2FAbstract%5D)%20AND%20(mouse%20OR%20murine)</x:v>
      </x:c>
    </x:row>
    <x:row r="94">
      <x:c r="A94" s="22" t="str">
        <x:v>Il10rb</x:v>
      </x:c>
      <x:c r="B94" s="23" t="str">
        <x:v>IL10RB</x:v>
      </x:c>
      <x:c r="C94" s="23" t="str">
        <x:v>Class-II cytokine receptor signaling</x:v>
      </x:c>
      <x:c r="D94" s="23" t="str">
        <x:v>Shared receptor chain used by IL-10, IL-22, IL-26 and type-III interferons, coupling to TYK2/JAK-STAT signaling.</x:v>
      </x:c>
      <x:c r="E94" s="23" t="str">
        <x:v>High</x:v>
      </x:c>
      <x:c r="F94" s="23" t="str">
        <x:v>MGI2020;ALLIANCE2024;UNIPROT2025;NCBIGENE2015;REACTOME2024</x:v>
      </x:c>
      <x:c r="G94" s="23" t="str">
        <x:v>https://www.informatics.jax.org/quicksearch/summary?queryType=exactPhrase&amp;query=Il10rb</x:v>
      </x:c>
      <x:c r="H94" s="23" t="str">
        <x:v>https://www.uniprot.org/uniprotkb?query=%28gene_exact%3AIl10rb%29+AND+%28organism_id%3A10090%29</x:v>
      </x:c>
      <x:c r="I94" s="23" t="str">
        <x:v>https://www.ncbi.nlm.nih.gov/gene/?term=Il10rb%5Bgene%5D%20AND%20Mus%20musculus%5Borgn%5D</x:v>
      </x:c>
      <x:c r="J94" s="23" t="str">
        <x:v>https://reactome.org/content/query?q=Il10rb&amp;species=Mus%20musculus</x:v>
      </x:c>
      <x:c r="K94" s="23" t="str">
        <x:v>https://pubmed.ncbi.nlm.nih.gov/?term=(Il10rb%5BTitle%2FAbstract%5D)%20AND%20(mouse%20OR%20murine)</x:v>
      </x:c>
    </x:row>
    <x:row r="95">
      <x:c r="A95" s="22" t="str">
        <x:v>Il18rap</x:v>
      </x:c>
      <x:c r="B95" s="23" t="str">
        <x:v>IL18RAP</x:v>
      </x:c>
      <x:c r="C95" s="23" t="str">
        <x:v>IL-18 signaling</x:v>
      </x:c>
      <x:c r="D95" s="23" t="str">
        <x:v>Accessory receptor chain that complexes with IL18R1 to trigger MYD88-NF-kappaB/MAPK signaling and IFN-gamma production.</x:v>
      </x:c>
      <x:c r="E95" s="23" t="str">
        <x:v>High</x:v>
      </x:c>
      <x:c r="F95" s="23" t="str">
        <x:v>MGI2020;ALLIANCE2024;UNIPROT2025;NCBIGENE2015;REACTOME2024</x:v>
      </x:c>
      <x:c r="G95" s="23" t="str">
        <x:v>https://www.informatics.jax.org/quicksearch/summary?queryType=exactPhrase&amp;query=Il18rap</x:v>
      </x:c>
      <x:c r="H95" s="23" t="str">
        <x:v>https://www.uniprot.org/uniprotkb?query=%28gene_exact%3AIl18rap%29+AND+%28organism_id%3A10090%29</x:v>
      </x:c>
      <x:c r="I95" s="23" t="str">
        <x:v>https://www.ncbi.nlm.nih.gov/gene/?term=Il18rap%5Bgene%5D%20AND%20Mus%20musculus%5Borgn%5D</x:v>
      </x:c>
      <x:c r="J95" s="23" t="str">
        <x:v>https://reactome.org/content/query?q=Il18rap&amp;species=Mus%20musculus</x:v>
      </x:c>
      <x:c r="K95" s="23" t="str">
        <x:v>https://pubmed.ncbi.nlm.nih.gov/?term=(Il18rap%5BTitle%2FAbstract%5D)%20AND%20(mouse%20OR%20murine)</x:v>
      </x:c>
    </x:row>
    <x:row r="96">
      <x:c r="A96" s="22" t="str">
        <x:v>Il1b</x:v>
      </x:c>
      <x:c r="B96" s="23" t="str">
        <x:v>IL1B</x:v>
      </x:c>
      <x:c r="C96" s="23" t="str">
        <x:v>Inflammasome cytokine; inflammation</x:v>
      </x:c>
      <x:c r="D96" s="23" t="str">
        <x:v>Pro-inflammatory cytokine synthesized as pro-IL-1beta, matured by inflammatory proteases (often caspase-1) and released through regulated unconventional secretion.</x:v>
      </x:c>
      <x:c r="E96" s="23" t="str">
        <x:v>High</x:v>
      </x:c>
      <x:c r="F96" s="23" t="str">
        <x:v>MGI2020;ALLIANCE2024;UNIPROT2025;NCBIGENE2015;REACTOME2024</x:v>
      </x:c>
      <x:c r="G96" s="23" t="str">
        <x:v>https://www.informatics.jax.org/quicksearch/summary?queryType=exactPhrase&amp;query=Il1b</x:v>
      </x:c>
      <x:c r="H96" s="23" t="str">
        <x:v>https://www.uniprot.org/uniprotkb?query=%28gene_exact%3AIl1b%29+AND+%28organism_id%3A10090%29</x:v>
      </x:c>
      <x:c r="I96" s="23" t="str">
        <x:v>https://www.ncbi.nlm.nih.gov/gene/?term=Il1b%5Bgene%5D%20AND%20Mus%20musculus%5Borgn%5D</x:v>
      </x:c>
      <x:c r="J96" s="23" t="str">
        <x:v>https://reactome.org/content/query?q=Il1b&amp;species=Mus%20musculus</x:v>
      </x:c>
      <x:c r="K96" s="23" t="str">
        <x:v>https://pubmed.ncbi.nlm.nih.gov/?term=(Il1b%5BTitle%2FAbstract%5D)%20AND%20(mouse%20OR%20murine)</x:v>
      </x:c>
    </x:row>
    <x:row r="97">
      <x:c r="A97" s="22" t="str">
        <x:v>Itgb2</x:v>
      </x:c>
      <x:c r="B97" s="23" t="str">
        <x:v>ITGB2</x:v>
      </x:c>
      <x:c r="C97" s="23" t="str">
        <x:v>Leukocyte adhesion and migration</x:v>
      </x:c>
      <x:c r="D97" s="23" t="str">
        <x:v>Common beta-2 integrin chain (CD18) forming LFA-1, Mac-1 and related integrins required for leukocyte adhesion, trafficking and phagocytosis.</x:v>
      </x:c>
      <x:c r="E97" s="23" t="str">
        <x:v>High</x:v>
      </x:c>
      <x:c r="F97" s="23" t="str">
        <x:v>MGI2020;ALLIANCE2024;UNIPROT2025;NCBIGENE2015;REACTOME2024</x:v>
      </x:c>
      <x:c r="G97" s="23" t="str">
        <x:v>https://www.informatics.jax.org/quicksearch/summary?queryType=exactPhrase&amp;query=Itgb2</x:v>
      </x:c>
      <x:c r="H97" s="23" t="str">
        <x:v>https://www.uniprot.org/uniprotkb?query=%28gene_exact%3AItgb2%29+AND+%28organism_id%3A10090%29</x:v>
      </x:c>
      <x:c r="I97" s="23" t="str">
        <x:v>https://www.ncbi.nlm.nih.gov/gene/?term=Itgb2%5Bgene%5D%20AND%20Mus%20musculus%5Borgn%5D</x:v>
      </x:c>
      <x:c r="J97" s="23" t="str">
        <x:v>https://reactome.org/content/query?q=Itgb2&amp;species=Mus%20musculus</x:v>
      </x:c>
      <x:c r="K97" s="23" t="str">
        <x:v>https://pubmed.ncbi.nlm.nih.gov/?term=(Itgb2%5BTitle%2FAbstract%5D)%20AND%20(mouse%20OR%20murine)</x:v>
      </x:c>
    </x:row>
    <x:row r="98">
      <x:c r="A98" s="22" t="str">
        <x:v>Itm2c</x:v>
      </x:c>
      <x:c r="B98" s="23" t="str">
        <x:v>ITM2C</x:v>
      </x:c>
      <x:c r="C98" s="23" t="str">
        <x:v>Membrane trafficking; neural/immune biology</x:v>
      </x:c>
      <x:c r="D98" s="23" t="str">
        <x:v>Type-II membrane protein (BRI3 family) associated with secretory/endosomal compartments; precise pathway roles remain incompletely resolved.</x:v>
      </x:c>
      <x:c r="E98" s="23" t="str">
        <x:v>Low</x:v>
      </x:c>
      <x:c r="F98" s="23" t="str">
        <x:v>MGI2020;ALLIANCE2024;UNIPROT2025;NCBIGENE2015;REACTOME2024</x:v>
      </x:c>
      <x:c r="G98" s="23" t="str">
        <x:v>https://www.informatics.jax.org/quicksearch/summary?queryType=exactPhrase&amp;query=Itm2c</x:v>
      </x:c>
      <x:c r="H98" s="23" t="str">
        <x:v>https://www.uniprot.org/uniprotkb?query=%28gene_exact%3AItm2c%29+AND+%28organism_id%3A10090%29</x:v>
      </x:c>
      <x:c r="I98" s="23" t="str">
        <x:v>https://www.ncbi.nlm.nih.gov/gene/?term=Itm2c%5Bgene%5D%20AND%20Mus%20musculus%5Borgn%5D</x:v>
      </x:c>
      <x:c r="J98" s="23" t="str">
        <x:v>https://reactome.org/content/query?q=Itm2c&amp;species=Mus%20musculus</x:v>
      </x:c>
      <x:c r="K98" s="23" t="str">
        <x:v>https://pubmed.ncbi.nlm.nih.gov/?term=(Itm2c%5BTitle%2FAbstract%5D)%20AND%20(mouse%20OR%20murine)</x:v>
      </x:c>
    </x:row>
    <x:row r="99">
      <x:c r="A99" s="22" t="str">
        <x:v>Junb</x:v>
      </x:c>
      <x:c r="B99" s="23" t="str">
        <x:v>JUNB</x:v>
      </x:c>
      <x:c r="C99" s="23" t="str">
        <x:v>AP-1 transcription; activation and differentiation</x:v>
      </x:c>
      <x:c r="D99" s="23" t="str">
        <x:v>AP-1 transcription factor that integrates MAPK/stress signals to regulate proliferation, differentiation, inflammation and survival.</x:v>
      </x:c>
      <x:c r="E99" s="23" t="str">
        <x:v>High</x:v>
      </x:c>
      <x:c r="F99" s="23" t="str">
        <x:v>MGI2020;ALLIANCE2024;UNIPROT2025;NCBIGENE2015;REACTOME2024</x:v>
      </x:c>
      <x:c r="G99" s="23" t="str">
        <x:v>https://www.informatics.jax.org/quicksearch/summary?queryType=exactPhrase&amp;query=Junb</x:v>
      </x:c>
      <x:c r="H99" s="23" t="str">
        <x:v>https://www.uniprot.org/uniprotkb?query=%28gene_exact%3AJunb%29+AND+%28organism_id%3A10090%29</x:v>
      </x:c>
      <x:c r="I99" s="23" t="str">
        <x:v>https://www.ncbi.nlm.nih.gov/gene/?term=Junb%5Bgene%5D%20AND%20Mus%20musculus%5Borgn%5D</x:v>
      </x:c>
      <x:c r="J99" s="23" t="str">
        <x:v>https://reactome.org/content/query?q=Junb&amp;species=Mus%20musculus</x:v>
      </x:c>
      <x:c r="K99" s="23" t="str">
        <x:v>https://pubmed.ncbi.nlm.nih.gov/?term=(Junb%5BTitle%2FAbstract%5D)%20AND%20(mouse%20OR%20murine)</x:v>
      </x:c>
    </x:row>
    <x:row r="100">
      <x:c r="A100" s="22" t="str">
        <x:v>Kcnk6</x:v>
      </x:c>
      <x:c r="B100" s="23" t="str">
        <x:v>KCNK6</x:v>
      </x:c>
      <x:c r="C100" s="23" t="str">
        <x:v>Potassium conductance; membrane excitability</x:v>
      </x:c>
      <x:c r="D100" s="23" t="str">
        <x:v>Two-pore-domain potassium channel (TWIK-2) contributing to background K+ currents, membrane potential and context-dependent inflammasome/vascular responses.</x:v>
      </x:c>
      <x:c r="E100" s="23" t="str">
        <x:v>Moderate</x:v>
      </x:c>
      <x:c r="F100" s="23" t="str">
        <x:v>MGI2020;ALLIANCE2024;UNIPROT2025;NCBIGENE2015;REACTOME2024</x:v>
      </x:c>
      <x:c r="G100" s="23" t="str">
        <x:v>https://www.informatics.jax.org/quicksearch/summary?queryType=exactPhrase&amp;query=Kcnk6</x:v>
      </x:c>
      <x:c r="H100" s="23" t="str">
        <x:v>https://www.uniprot.org/uniprotkb?query=%28gene_exact%3AKcnk6%29+AND+%28organism_id%3A10090%29</x:v>
      </x:c>
      <x:c r="I100" s="23" t="str">
        <x:v>https://www.ncbi.nlm.nih.gov/gene/?term=Kcnk6%5Bgene%5D%20AND%20Mus%20musculus%5Borgn%5D</x:v>
      </x:c>
      <x:c r="J100" s="23" t="str">
        <x:v>https://reactome.org/content/query?q=Kcnk6&amp;species=Mus%20musculus</x:v>
      </x:c>
      <x:c r="K100" s="23" t="str">
        <x:v>https://pubmed.ncbi.nlm.nih.gov/?term=(Kcnk6%5BTitle%2FAbstract%5D)%20AND%20(mouse%20OR%20murine)</x:v>
      </x:c>
    </x:row>
    <x:row r="101">
      <x:c r="A101" s="22" t="str">
        <x:v>Kctd13</x:v>
      </x:c>
      <x:c r="B101" s="23" t="str">
        <x:v>KCTD13</x:v>
      </x:c>
      <x:c r="C101" s="23" t="str">
        <x:v>Cullin-3 ubiquitin-ligase adaptor; RHOA control</x:v>
      </x:c>
      <x:c r="D101" s="23" t="str">
        <x:v>BTB-domain substrate adaptor for CUL3 complexes, linked to RHOA turnover and neurodevelopmental/cell-cycle phenotypes.</x:v>
      </x:c>
      <x:c r="E101" s="23" t="str">
        <x:v>Moderate</x:v>
      </x:c>
      <x:c r="F101" s="23" t="str">
        <x:v>MGI2020;ALLIANCE2024;UNIPROT2025;NCBIGENE2015;REACTOME2024</x:v>
      </x:c>
      <x:c r="G101" s="23" t="str">
        <x:v>https://www.informatics.jax.org/quicksearch/summary?queryType=exactPhrase&amp;query=Kctd13</x:v>
      </x:c>
      <x:c r="H101" s="23" t="str">
        <x:v>https://www.uniprot.org/uniprotkb?query=%28gene_exact%3AKctd13%29+AND+%28organism_id%3A10090%29</x:v>
      </x:c>
      <x:c r="I101" s="23" t="str">
        <x:v>https://www.ncbi.nlm.nih.gov/gene/?term=Kctd13%5Bgene%5D%20AND%20Mus%20musculus%5Borgn%5D</x:v>
      </x:c>
      <x:c r="J101" s="23" t="str">
        <x:v>https://reactome.org/content/query?q=Kctd13&amp;species=Mus%20musculus</x:v>
      </x:c>
      <x:c r="K101" s="23" t="str">
        <x:v>https://pubmed.ncbi.nlm.nih.gov/?term=(Kctd13%5BTitle%2FAbstract%5D)%20AND%20(mouse%20OR%20murine)</x:v>
      </x:c>
    </x:row>
    <x:row r="102">
      <x:c r="A102" s="22" t="str">
        <x:v>Klhl6</x:v>
      </x:c>
      <x:c r="B102" s="23" t="str">
        <x:v>KLHL6</x:v>
      </x:c>
      <x:c r="C102" s="23" t="str">
        <x:v>Ubiquitin-ligase adaptor; B-cell biology</x:v>
      </x:c>
      <x:c r="D102" s="23" t="str">
        <x:v>Kelch-like CUL3 adaptor important in germinal-center B cells; specific substrates and functions are still being defined.</x:v>
      </x:c>
      <x:c r="E102" s="23" t="str">
        <x:v>Moderate</x:v>
      </x:c>
      <x:c r="F102" s="23" t="str">
        <x:v>MGI2020;ALLIANCE2024;UNIPROT2025;NCBIGENE2015;REACTOME2024</x:v>
      </x:c>
      <x:c r="G102" s="23" t="str">
        <x:v>https://www.informatics.jax.org/quicksearch/summary?queryType=exactPhrase&amp;query=Klhl6</x:v>
      </x:c>
      <x:c r="H102" s="23" t="str">
        <x:v>https://www.uniprot.org/uniprotkb?query=%28gene_exact%3AKlhl6%29+AND+%28organism_id%3A10090%29</x:v>
      </x:c>
      <x:c r="I102" s="23" t="str">
        <x:v>https://www.ncbi.nlm.nih.gov/gene/?term=Klhl6%5Bgene%5D%20AND%20Mus%20musculus%5Borgn%5D</x:v>
      </x:c>
      <x:c r="J102" s="23" t="str">
        <x:v>https://reactome.org/content/query?q=Klhl6&amp;species=Mus%20musculus</x:v>
      </x:c>
      <x:c r="K102" s="23" t="str">
        <x:v>https://pubmed.ncbi.nlm.nih.gov/?term=(Klhl6%5BTitle%2FAbstract%5D)%20AND%20(mouse%20OR%20murine)</x:v>
      </x:c>
    </x:row>
    <x:row r="103">
      <x:c r="A103" s="22" t="str">
        <x:v>Laptm5</x:v>
      </x:c>
      <x:c r="B103" s="23" t="str">
        <x:v>LAPTM5</x:v>
      </x:c>
      <x:c r="C103" s="23" t="str">
        <x:v>Lysosomal trafficking; immune-receptor turnover</x:v>
      </x:c>
      <x:c r="D103" s="23" t="str">
        <x:v>Lysosomal multi-pass membrane protein promoting sorting/down-regulation of selected immune receptors and modulating inflammatory signaling.</x:v>
      </x:c>
      <x:c r="E103" s="23" t="str">
        <x:v>Moderate</x:v>
      </x:c>
      <x:c r="F103" s="23" t="str">
        <x:v>MGI2020;ALLIANCE2024;UNIPROT2025;NCBIGENE2015;REACTOME2024</x:v>
      </x:c>
      <x:c r="G103" s="23" t="str">
        <x:v>https://www.informatics.jax.org/quicksearch/summary?queryType=exactPhrase&amp;query=Laptm5</x:v>
      </x:c>
      <x:c r="H103" s="23" t="str">
        <x:v>https://www.uniprot.org/uniprotkb?query=%28gene_exact%3ALaptm5%29+AND+%28organism_id%3A10090%29</x:v>
      </x:c>
      <x:c r="I103" s="23" t="str">
        <x:v>https://www.ncbi.nlm.nih.gov/gene/?term=Laptm5%5Bgene%5D%20AND%20Mus%20musculus%5Borgn%5D</x:v>
      </x:c>
      <x:c r="J103" s="23" t="str">
        <x:v>https://reactome.org/content/query?q=Laptm5&amp;species=Mus%20musculus</x:v>
      </x:c>
      <x:c r="K103" s="23" t="str">
        <x:v>https://pubmed.ncbi.nlm.nih.gov/?term=(Laptm5%5BTitle%2FAbstract%5D)%20AND%20(mouse%20OR%20murine)</x:v>
      </x:c>
    </x:row>
    <x:row r="104">
      <x:c r="A104" s="22" t="str">
        <x:v>Lcn2</x:v>
      </x:c>
      <x:c r="B104" s="23" t="str">
        <x:v>LCN2</x:v>
      </x:c>
      <x:c r="C104" s="23" t="str">
        <x:v>Iron sequestration; antimicrobial defense</x:v>
      </x:c>
      <x:c r="D104" s="23" t="str">
        <x:v>Secreted lipocalin that binds siderophore-iron complexes, restricting microbial iron acquisition and altering cellular iron handling.</x:v>
      </x:c>
      <x:c r="E104" s="23" t="str">
        <x:v>High</x:v>
      </x:c>
      <x:c r="F104" s="23" t="str">
        <x:v>MGI2020;ALLIANCE2024;UNIPROT2025;NCBIGENE2015;REACTOME2024</x:v>
      </x:c>
      <x:c r="G104" s="23" t="str">
        <x:v>https://www.informatics.jax.org/quicksearch/summary?queryType=exactPhrase&amp;query=Lcn2</x:v>
      </x:c>
      <x:c r="H104" s="23" t="str">
        <x:v>https://www.uniprot.org/uniprotkb?query=%28gene_exact%3ALcn2%29+AND+%28organism_id%3A10090%29</x:v>
      </x:c>
      <x:c r="I104" s="23" t="str">
        <x:v>https://www.ncbi.nlm.nih.gov/gene/?term=Lcn2%5Bgene%5D%20AND%20Mus%20musculus%5Borgn%5D</x:v>
      </x:c>
      <x:c r="J104" s="23" t="str">
        <x:v>https://reactome.org/content/query?q=Lcn2&amp;species=Mus%20musculus</x:v>
      </x:c>
      <x:c r="K104" s="23" t="str">
        <x:v>https://pubmed.ncbi.nlm.nih.gov/?term=(Lcn2%5BTitle%2FAbstract%5D)%20AND%20(mouse%20OR%20murine)</x:v>
      </x:c>
    </x:row>
    <x:row r="105">
      <x:c r="A105" s="22" t="str">
        <x:v>Lcp2</x:v>
      </x:c>
      <x:c r="B105" s="23" t="str">
        <x:v>LCP2</x:v>
      </x:c>
      <x:c r="C105" s="23" t="str">
        <x:v>ITAM signaling adaptor</x:v>
      </x:c>
      <x:c r="D105" s="23" t="str">
        <x:v>SLP-76 adaptor essential for signaling downstream of T-cell receptor and multiple ITAM-coupled immune receptors.</x:v>
      </x:c>
      <x:c r="E105" s="23" t="str">
        <x:v>High</x:v>
      </x:c>
      <x:c r="F105" s="23" t="str">
        <x:v>MGI2020;ALLIANCE2024;UNIPROT2025;NCBIGENE2015;REACTOME2024</x:v>
      </x:c>
      <x:c r="G105" s="23" t="str">
        <x:v>https://www.informatics.jax.org/quicksearch/summary?queryType=exactPhrase&amp;query=Lcp2</x:v>
      </x:c>
      <x:c r="H105" s="23" t="str">
        <x:v>https://www.uniprot.org/uniprotkb?query=%28gene_exact%3ALcp2%29+AND+%28organism_id%3A10090%29</x:v>
      </x:c>
      <x:c r="I105" s="23" t="str">
        <x:v>https://www.ncbi.nlm.nih.gov/gene/?term=Lcp2%5Bgene%5D%20AND%20Mus%20musculus%5Borgn%5D</x:v>
      </x:c>
      <x:c r="J105" s="23" t="str">
        <x:v>https://reactome.org/content/query?q=Lcp2&amp;species=Mus%20musculus</x:v>
      </x:c>
      <x:c r="K105" s="23" t="str">
        <x:v>https://pubmed.ncbi.nlm.nih.gov/?term=(Lcp2%5BTitle%2FAbstract%5D)%20AND%20(mouse%20OR%20murine)</x:v>
      </x:c>
    </x:row>
    <x:row r="106">
      <x:c r="A106" s="22" t="str">
        <x:v>Lgals9</x:v>
      </x:c>
      <x:c r="B106" s="23" t="str">
        <x:v>LGALS9</x:v>
      </x:c>
      <x:c r="C106" s="23" t="str">
        <x:v>Glycan recognition; immune checkpoint signaling</x:v>
      </x:c>
      <x:c r="D106" s="23" t="str">
        <x:v>Tandem-repeat beta-galactoside lectin regulating cell adhesion and immune responses through TIM-3 and additional glycoprotein ligands.</x:v>
      </x:c>
      <x:c r="E106" s="23" t="str">
        <x:v>High</x:v>
      </x:c>
      <x:c r="F106" s="23" t="str">
        <x:v>MGI2020;ALLIANCE2024;UNIPROT2025;NCBIGENE2015;REACTOME2024</x:v>
      </x:c>
      <x:c r="G106" s="23" t="str">
        <x:v>https://www.informatics.jax.org/quicksearch/summary?queryType=exactPhrase&amp;query=Lgals9</x:v>
      </x:c>
      <x:c r="H106" s="23" t="str">
        <x:v>https://www.uniprot.org/uniprotkb?query=%28gene_exact%3ALgals9%29+AND+%28organism_id%3A10090%29</x:v>
      </x:c>
      <x:c r="I106" s="23" t="str">
        <x:v>https://www.ncbi.nlm.nih.gov/gene/?term=Lgals9%5Bgene%5D%20AND%20Mus%20musculus%5Borgn%5D</x:v>
      </x:c>
      <x:c r="J106" s="23" t="str">
        <x:v>https://reactome.org/content/query?q=Lgals9&amp;species=Mus%20musculus</x:v>
      </x:c>
      <x:c r="K106" s="23" t="str">
        <x:v>https://pubmed.ncbi.nlm.nih.gov/?term=(Lgals9%5BTitle%2FAbstract%5D)%20AND%20(mouse%20OR%20murine)</x:v>
      </x:c>
    </x:row>
    <x:row r="107">
      <x:c r="A107" s="22" t="str">
        <x:v>Lgmn</x:v>
      </x:c>
      <x:c r="B107" s="23" t="str">
        <x:v>LGMN</x:v>
      </x:c>
      <x:c r="C107" s="23" t="str">
        <x:v>Lysosomal proteolysis; antigen processing</x:v>
      </x:c>
      <x:c r="D107" s="23" t="str">
        <x:v>Asparaginyl endopeptidase that cleaves proteins after asparagine in acidic endolysosomes and contributes to antigen/lysosomal protein processing.</x:v>
      </x:c>
      <x:c r="E107" s="23" t="str">
        <x:v>High</x:v>
      </x:c>
      <x:c r="F107" s="23" t="str">
        <x:v>MGI2020;ALLIANCE2024;UNIPROT2025;NCBIGENE2015;REACTOME2024</x:v>
      </x:c>
      <x:c r="G107" s="23" t="str">
        <x:v>https://www.informatics.jax.org/quicksearch/summary?queryType=exactPhrase&amp;query=Lgmn</x:v>
      </x:c>
      <x:c r="H107" s="23" t="str">
        <x:v>https://www.uniprot.org/uniprotkb?query=%28gene_exact%3ALgmn%29+AND+%28organism_id%3A10090%29</x:v>
      </x:c>
      <x:c r="I107" s="23" t="str">
        <x:v>https://www.ncbi.nlm.nih.gov/gene/?term=Lgmn%5Bgene%5D%20AND%20Mus%20musculus%5Borgn%5D</x:v>
      </x:c>
      <x:c r="J107" s="23" t="str">
        <x:v>https://reactome.org/content/query?q=Lgmn&amp;species=Mus%20musculus</x:v>
      </x:c>
      <x:c r="K107" s="23" t="str">
        <x:v>https://pubmed.ncbi.nlm.nih.gov/?term=(Lgmn%5BTitle%2FAbstract%5D)%20AND%20(mouse%20OR%20murine)</x:v>
      </x:c>
    </x:row>
    <x:row r="108">
      <x:c r="A108" s="22" t="str">
        <x:v>Lrg1</x:v>
      </x:c>
      <x:c r="B108" s="23" t="str">
        <x:v>LRG1</x:v>
      </x:c>
      <x:c r="C108" s="23" t="str">
        <x:v>TGF-beta pathway modulation; angiogenesis</x:v>
      </x:c>
      <x:c r="D108" s="23" t="str">
        <x:v>Secreted leucine-rich glycoprotein that modifies TGF-beta receptor usage/signaling and promotes context-dependent angiogenesis and inflammation.</x:v>
      </x:c>
      <x:c r="E108" s="23" t="str">
        <x:v>Moderate</x:v>
      </x:c>
      <x:c r="F108" s="23" t="str">
        <x:v>MGI2020;ALLIANCE2024;UNIPROT2025;NCBIGENE2015;REACTOME2024</x:v>
      </x:c>
      <x:c r="G108" s="23" t="str">
        <x:v>https://www.informatics.jax.org/quicksearch/summary?queryType=exactPhrase&amp;query=Lrg1</x:v>
      </x:c>
      <x:c r="H108" s="23" t="str">
        <x:v>https://www.uniprot.org/uniprotkb?query=%28gene_exact%3ALrg1%29+AND+%28organism_id%3A10090%29</x:v>
      </x:c>
      <x:c r="I108" s="23" t="str">
        <x:v>https://www.ncbi.nlm.nih.gov/gene/?term=Lrg1%5Bgene%5D%20AND%20Mus%20musculus%5Borgn%5D</x:v>
      </x:c>
      <x:c r="J108" s="23" t="str">
        <x:v>https://reactome.org/content/query?q=Lrg1&amp;species=Mus%20musculus</x:v>
      </x:c>
      <x:c r="K108" s="23" t="str">
        <x:v>https://pubmed.ncbi.nlm.nih.gov/?term=(Lrg1%5BTitle%2FAbstract%5D)%20AND%20(mouse%20OR%20murine)</x:v>
      </x:c>
    </x:row>
    <x:row r="109">
      <x:c r="A109" s="22" t="str">
        <x:v>Lrp5</x:v>
      </x:c>
      <x:c r="B109" s="23" t="str">
        <x:v>LRP5</x:v>
      </x:c>
      <x:c r="C109" s="23" t="str">
        <x:v>Canonical Wnt signaling; bone and metabolic homeostasis</x:v>
      </x:c>
      <x:c r="D109" s="23" t="str">
        <x:v>Wnt co-receptor controlling beta-catenin signaling, bone mass, retinal vascular development and regulatory effects on glucose/cholesterol metabolism.</x:v>
      </x:c>
      <x:c r="E109" s="23" t="str">
        <x:v>High</x:v>
      </x:c>
      <x:c r="F109" s="23" t="str">
        <x:v>MGI2020;ALLIANCE2024;UNIPROT2025;NCBIGENE2015;REACTOME2024</x:v>
      </x:c>
      <x:c r="G109" s="23" t="str">
        <x:v>https://www.informatics.jax.org/quicksearch/summary?queryType=exactPhrase&amp;query=Lrp5</x:v>
      </x:c>
      <x:c r="H109" s="23" t="str">
        <x:v>https://www.uniprot.org/uniprotkb?query=%28gene_exact%3ALrp5%29+AND+%28organism_id%3A10090%29</x:v>
      </x:c>
      <x:c r="I109" s="23" t="str">
        <x:v>https://www.ncbi.nlm.nih.gov/gene/?term=Lrp5%5Bgene%5D%20AND%20Mus%20musculus%5Borgn%5D</x:v>
      </x:c>
      <x:c r="J109" s="23" t="str">
        <x:v>https://reactome.org/content/query?q=Lrp5&amp;species=Mus%20musculus</x:v>
      </x:c>
      <x:c r="K109" s="23" t="str">
        <x:v>https://pubmed.ncbi.nlm.nih.gov/?term=(Lrp5%5BTitle%2FAbstract%5D)%20AND%20(mouse%20OR%20murine)</x:v>
      </x:c>
    </x:row>
    <x:row r="110">
      <x:c r="A110" s="22" t="str">
        <x:v>Lrrc25</x:v>
      </x:c>
      <x:c r="B110" s="23" t="str">
        <x:v>LRRC25</x:v>
      </x:c>
      <x:c r="C110" s="23" t="str">
        <x:v>Innate immune signal termination</x:v>
      </x:c>
      <x:c r="D110" s="23" t="str">
        <x:v>Leucine-rich-repeat protein reported to promote degradation/turnover of innate signaling components and limit RIG-I/NF-kappaB responses.</x:v>
      </x:c>
      <x:c r="E110" s="23" t="str">
        <x:v>Moderate</x:v>
      </x:c>
      <x:c r="F110" s="23" t="str">
        <x:v>MGI2020;ALLIANCE2024;UNIPROT2025;NCBIGENE2015;REACTOME2024</x:v>
      </x:c>
      <x:c r="G110" s="23" t="str">
        <x:v>https://www.informatics.jax.org/quicksearch/summary?queryType=exactPhrase&amp;query=Lrrc25</x:v>
      </x:c>
      <x:c r="H110" s="23" t="str">
        <x:v>https://www.uniprot.org/uniprotkb?query=%28gene_exact%3ALrrc25%29+AND+%28organism_id%3A10090%29</x:v>
      </x:c>
      <x:c r="I110" s="23" t="str">
        <x:v>https://www.ncbi.nlm.nih.gov/gene/?term=Lrrc25%5Bgene%5D%20AND%20Mus%20musculus%5Borgn%5D</x:v>
      </x:c>
      <x:c r="J110" s="23" t="str">
        <x:v>https://reactome.org/content/query?q=Lrrc25&amp;species=Mus%20musculus</x:v>
      </x:c>
      <x:c r="K110" s="23" t="str">
        <x:v>https://pubmed.ncbi.nlm.nih.gov/?term=(Lrrc25%5BTitle%2FAbstract%5D)%20AND%20(mouse%20OR%20murine)</x:v>
      </x:c>
    </x:row>
    <x:row r="111">
      <x:c r="A111" s="22" t="str">
        <x:v>Lrrk1</x:v>
      </x:c>
      <x:c r="B111" s="23" t="str">
        <x:v>LRRK1</x:v>
      </x:c>
      <x:c r="C111" s="23" t="str">
        <x:v>Kinase signaling; endosome and osteoclast biology</x:v>
      </x:c>
      <x:c r="D111" s="23" t="str">
        <x:v>Serine/threonine kinase controlling endosomal trafficking, cytoskeleton and osteoclast function.</x:v>
      </x:c>
      <x:c r="E111" s="23" t="str">
        <x:v>Moderate</x:v>
      </x:c>
      <x:c r="F111" s="23" t="str">
        <x:v>MGI2020;ALLIANCE2024;UNIPROT2025;NCBIGENE2015;REACTOME2024</x:v>
      </x:c>
      <x:c r="G111" s="23" t="str">
        <x:v>https://www.informatics.jax.org/quicksearch/summary?queryType=exactPhrase&amp;query=Lrrk1</x:v>
      </x:c>
      <x:c r="H111" s="23" t="str">
        <x:v>https://www.uniprot.org/uniprotkb?query=%28gene_exact%3ALrrk1%29+AND+%28organism_id%3A10090%29</x:v>
      </x:c>
      <x:c r="I111" s="23" t="str">
        <x:v>https://www.ncbi.nlm.nih.gov/gene/?term=Lrrk1%5Bgene%5D%20AND%20Mus%20musculus%5Borgn%5D</x:v>
      </x:c>
      <x:c r="J111" s="23" t="str">
        <x:v>https://reactome.org/content/query?q=Lrrk1&amp;species=Mus%20musculus</x:v>
      </x:c>
      <x:c r="K111" s="23" t="str">
        <x:v>https://pubmed.ncbi.nlm.nih.gov/?term=(Lrrk1%5BTitle%2FAbstract%5D)%20AND%20(mouse%20OR%20murine)</x:v>
      </x:c>
    </x:row>
    <x:row r="112">
      <x:c r="A112" s="22" t="str">
        <x:v>Lsp1</x:v>
      </x:c>
      <x:c r="B112" s="23" t="str">
        <x:v>LSP1</x:v>
      </x:c>
      <x:c r="C112" s="23" t="str">
        <x:v>Actin cytoskeleton; leukocyte migration</x:v>
      </x:c>
      <x:c r="D112" s="23" t="str">
        <x:v>F-actin-binding phosphoprotein regulating leukocyte motility, adhesion and endothelial transmigration.</x:v>
      </x:c>
      <x:c r="E112" s="23" t="str">
        <x:v>High</x:v>
      </x:c>
      <x:c r="F112" s="23" t="str">
        <x:v>MGI2020;ALLIANCE2024;UNIPROT2025;NCBIGENE2015;REACTOME2024</x:v>
      </x:c>
      <x:c r="G112" s="23" t="str">
        <x:v>https://www.informatics.jax.org/quicksearch/summary?queryType=exactPhrase&amp;query=Lsp1</x:v>
      </x:c>
      <x:c r="H112" s="23" t="str">
        <x:v>https://www.uniprot.org/uniprotkb?query=%28gene_exact%3ALsp1%29+AND+%28organism_id%3A10090%29</x:v>
      </x:c>
      <x:c r="I112" s="23" t="str">
        <x:v>https://www.ncbi.nlm.nih.gov/gene/?term=Lsp1%5Bgene%5D%20AND%20Mus%20musculus%5Borgn%5D</x:v>
      </x:c>
      <x:c r="J112" s="23" t="str">
        <x:v>https://reactome.org/content/query?q=Lsp1&amp;species=Mus%20musculus</x:v>
      </x:c>
      <x:c r="K112" s="23" t="str">
        <x:v>https://pubmed.ncbi.nlm.nih.gov/?term=(Lsp1%5BTitle%2FAbstract%5D)%20AND%20(mouse%20OR%20murine)</x:v>
      </x:c>
    </x:row>
    <x:row r="113">
      <x:c r="A113" s="22" t="str">
        <x:v>Ltf</x:v>
      </x:c>
      <x:c r="B113" s="23" t="str">
        <x:v>LTF</x:v>
      </x:c>
      <x:c r="C113" s="23" t="str">
        <x:v>Iron sequestration; antimicrobial defense</x:v>
      </x:c>
      <x:c r="D113" s="23" t="str">
        <x:v>Lactoferrin binds Fe3+ with high affinity, limits microbial iron availability and has direct/indirect antimicrobial and immunomodulatory actions.</x:v>
      </x:c>
      <x:c r="E113" s="23" t="str">
        <x:v>High</x:v>
      </x:c>
      <x:c r="F113" s="23" t="str">
        <x:v>MGI2020;ALLIANCE2024;UNIPROT2025;NCBIGENE2015;REACTOME2024</x:v>
      </x:c>
      <x:c r="G113" s="23" t="str">
        <x:v>https://www.informatics.jax.org/quicksearch/summary?queryType=exactPhrase&amp;query=Ltf</x:v>
      </x:c>
      <x:c r="H113" s="23" t="str">
        <x:v>https://www.uniprot.org/uniprotkb?query=%28gene_exact%3ALtf%29+AND+%28organism_id%3A10090%29</x:v>
      </x:c>
      <x:c r="I113" s="23" t="str">
        <x:v>https://www.ncbi.nlm.nih.gov/gene/?term=Ltf%5Bgene%5D%20AND%20Mus%20musculus%5Borgn%5D</x:v>
      </x:c>
      <x:c r="J113" s="23" t="str">
        <x:v>https://reactome.org/content/query?q=Ltf&amp;species=Mus%20musculus</x:v>
      </x:c>
      <x:c r="K113" s="23" t="str">
        <x:v>https://pubmed.ncbi.nlm.nih.gov/?term=(Ltf%5BTitle%2FAbstract%5D)%20AND%20(mouse%20OR%20murine)</x:v>
      </x:c>
    </x:row>
    <x:row r="114">
      <x:c r="A114" s="22" t="str">
        <x:v>Ly6c2</x:v>
      </x:c>
      <x:c r="B114" s="23" t="str"/>
      <x:c r="C114" s="23" t="str">
        <x:v>Mouse monocyte surface identity</x:v>
      </x:c>
      <x:c r="D114" s="23" t="str">
        <x:v>GPI-anchored Ly6C2 protein used to distinguish inflammatory monocyte subsets; mechanistic function is less defined and there is no direct human ortholog.</x:v>
      </x:c>
      <x:c r="E114" s="23" t="str">
        <x:v>Moderate</x:v>
      </x:c>
      <x:c r="F114" s="23" t="str">
        <x:v>MGI2020;ALLIANCE2024;UNIPROT2025;NCBIGENE2015;REACTOME2024</x:v>
      </x:c>
      <x:c r="G114" s="23" t="str">
        <x:v>https://www.informatics.jax.org/quicksearch/summary?queryType=exactPhrase&amp;query=Ly6c2</x:v>
      </x:c>
      <x:c r="H114" s="23" t="str">
        <x:v>https://www.uniprot.org/uniprotkb?query=%28gene_exact%3ALy6c2%29+AND+%28organism_id%3A10090%29</x:v>
      </x:c>
      <x:c r="I114" s="23" t="str">
        <x:v>https://www.ncbi.nlm.nih.gov/gene/?term=Ly6c2%5Bgene%5D%20AND%20Mus%20musculus%5Borgn%5D</x:v>
      </x:c>
      <x:c r="J114" s="23" t="str">
        <x:v>https://reactome.org/content/query?q=Ly6c2&amp;species=Mus%20musculus</x:v>
      </x:c>
      <x:c r="K114" s="23" t="str">
        <x:v>https://pubmed.ncbi.nlm.nih.gov/?term=(Ly6c2%5BTitle%2FAbstract%5D)%20AND%20(mouse%20OR%20murine)</x:v>
      </x:c>
    </x:row>
    <x:row r="115">
      <x:c r="A115" s="22" t="str">
        <x:v>Ly6e</x:v>
      </x:c>
      <x:c r="B115" s="23" t="str">
        <x:v>LY6E</x:v>
      </x:c>
      <x:c r="C115" s="23" t="str">
        <x:v>Interferon-regulated membrane protein</x:v>
      </x:c>
      <x:c r="D115" s="23" t="str">
        <x:v>GPI-anchored LY6-family protein that modulates immune signaling and can enhance or restrict viral infection depending on virus/context.</x:v>
      </x:c>
      <x:c r="E115" s="23" t="str">
        <x:v>Moderate</x:v>
      </x:c>
      <x:c r="F115" s="23" t="str">
        <x:v>MGI2020;ALLIANCE2024;UNIPROT2025;NCBIGENE2015;REACTOME2024</x:v>
      </x:c>
      <x:c r="G115" s="23" t="str">
        <x:v>https://www.informatics.jax.org/quicksearch/summary?queryType=exactPhrase&amp;query=Ly6e</x:v>
      </x:c>
      <x:c r="H115" s="23" t="str">
        <x:v>https://www.uniprot.org/uniprotkb?query=%28gene_exact%3ALy6e%29+AND+%28organism_id%3A10090%29</x:v>
      </x:c>
      <x:c r="I115" s="23" t="str">
        <x:v>https://www.ncbi.nlm.nih.gov/gene/?term=Ly6e%5Bgene%5D%20AND%20Mus%20musculus%5Borgn%5D</x:v>
      </x:c>
      <x:c r="J115" s="23" t="str">
        <x:v>https://reactome.org/content/query?q=Ly6e&amp;species=Mus%20musculus</x:v>
      </x:c>
      <x:c r="K115" s="23" t="str">
        <x:v>https://pubmed.ncbi.nlm.nih.gov/?term=(Ly6e%5BTitle%2FAbstract%5D)%20AND%20(mouse%20OR%20murine)</x:v>
      </x:c>
    </x:row>
    <x:row r="116">
      <x:c r="A116" s="22" t="str">
        <x:v>Ly6h</x:v>
      </x:c>
      <x:c r="B116" s="23" t="str">
        <x:v>LY6H</x:v>
      </x:c>
      <x:c r="C116" s="23" t="str">
        <x:v>LY6-family neural/immune membrane protein</x:v>
      </x:c>
      <x:c r="D116" s="23" t="str">
        <x:v>GPI-anchored protein enriched in neural tissues and some immune states; modulates nicotinic receptor biology and cell-surface signaling.</x:v>
      </x:c>
      <x:c r="E116" s="23" t="str">
        <x:v>Moderate</x:v>
      </x:c>
      <x:c r="F116" s="23" t="str">
        <x:v>MGI2020;ALLIANCE2024;UNIPROT2025;NCBIGENE2015;REACTOME2024</x:v>
      </x:c>
      <x:c r="G116" s="23" t="str">
        <x:v>https://www.informatics.jax.org/quicksearch/summary?queryType=exactPhrase&amp;query=Ly6h</x:v>
      </x:c>
      <x:c r="H116" s="23" t="str">
        <x:v>https://www.uniprot.org/uniprotkb?query=%28gene_exact%3ALy6h%29+AND+%28organism_id%3A10090%29</x:v>
      </x:c>
      <x:c r="I116" s="23" t="str">
        <x:v>https://www.ncbi.nlm.nih.gov/gene/?term=Ly6h%5Bgene%5D%20AND%20Mus%20musculus%5Borgn%5D</x:v>
      </x:c>
      <x:c r="J116" s="23" t="str">
        <x:v>https://reactome.org/content/query?q=Ly6h&amp;species=Mus%20musculus</x:v>
      </x:c>
      <x:c r="K116" s="23" t="str">
        <x:v>https://pubmed.ncbi.nlm.nih.gov/?term=(Ly6h%5BTitle%2FAbstract%5D)%20AND%20(mouse%20OR%20murine)</x:v>
      </x:c>
    </x:row>
    <x:row r="117">
      <x:c r="A117" s="22" t="str">
        <x:v>Lyl1</x:v>
      </x:c>
      <x:c r="B117" s="23" t="str">
        <x:v>LYL1</x:v>
      </x:c>
      <x:c r="C117" s="23" t="str">
        <x:v>Hematopoietic transcription</x:v>
      </x:c>
      <x:c r="D117" s="23" t="str">
        <x:v>Basic helix-loop-helix transcription factor supporting hematopoietic stem/progenitor and myeloid programs.</x:v>
      </x:c>
      <x:c r="E117" s="23" t="str">
        <x:v>Moderate</x:v>
      </x:c>
      <x:c r="F117" s="23" t="str">
        <x:v>MGI2020;ALLIANCE2024;UNIPROT2025;NCBIGENE2015;REACTOME2024</x:v>
      </x:c>
      <x:c r="G117" s="23" t="str">
        <x:v>https://www.informatics.jax.org/quicksearch/summary?queryType=exactPhrase&amp;query=Lyl1</x:v>
      </x:c>
      <x:c r="H117" s="23" t="str">
        <x:v>https://www.uniprot.org/uniprotkb?query=%28gene_exact%3ALyl1%29+AND+%28organism_id%3A10090%29</x:v>
      </x:c>
      <x:c r="I117" s="23" t="str">
        <x:v>https://www.ncbi.nlm.nih.gov/gene/?term=Lyl1%5Bgene%5D%20AND%20Mus%20musculus%5Borgn%5D</x:v>
      </x:c>
      <x:c r="J117" s="23" t="str">
        <x:v>https://reactome.org/content/query?q=Lyl1&amp;species=Mus%20musculus</x:v>
      </x:c>
      <x:c r="K117" s="23" t="str">
        <x:v>https://pubmed.ncbi.nlm.nih.gov/?term=(Lyl1%5BTitle%2FAbstract%5D)%20AND%20(mouse%20OR%20murine)</x:v>
      </x:c>
    </x:row>
    <x:row r="118">
      <x:c r="A118" s="22" t="str">
        <x:v>Lyz2</x:v>
      </x:c>
      <x:c r="B118" s="23" t="str">
        <x:v>LYZ</x:v>
      </x:c>
      <x:c r="C118" s="23" t="str">
        <x:v>Peptidoglycan degradation; myeloid defense</x:v>
      </x:c>
      <x:c r="D118" s="23" t="str">
        <x:v>Secreted/lysosomal lysozyme hydrolyzing beta-1,4 glycosidic bonds in bacterial peptidoglycan; widely used as a myeloid-lineage marker.</x:v>
      </x:c>
      <x:c r="E118" s="23" t="str">
        <x:v>High</x:v>
      </x:c>
      <x:c r="F118" s="23" t="str">
        <x:v>MGI2020;ALLIANCE2024;UNIPROT2025;NCBIGENE2015;REACTOME2024</x:v>
      </x:c>
      <x:c r="G118" s="23" t="str">
        <x:v>https://www.informatics.jax.org/quicksearch/summary?queryType=exactPhrase&amp;query=Lyz2</x:v>
      </x:c>
      <x:c r="H118" s="23" t="str">
        <x:v>https://www.uniprot.org/uniprotkb?query=%28gene_exact%3ALyz2%29+AND+%28organism_id%3A10090%29</x:v>
      </x:c>
      <x:c r="I118" s="23" t="str">
        <x:v>https://www.ncbi.nlm.nih.gov/gene/?term=Lyz2%5Bgene%5D%20AND%20Mus%20musculus%5Borgn%5D</x:v>
      </x:c>
      <x:c r="J118" s="23" t="str">
        <x:v>https://reactome.org/content/query?q=Lyz2&amp;species=Mus%20musculus</x:v>
      </x:c>
      <x:c r="K118" s="23" t="str">
        <x:v>https://pubmed.ncbi.nlm.nih.gov/?term=(Lyz2%5BTitle%2FAbstract%5D)%20AND%20(mouse%20OR%20murine)</x:v>
      </x:c>
    </x:row>
    <x:row r="119">
      <x:c r="A119" s="22" t="str">
        <x:v>Mki67</x:v>
      </x:c>
      <x:c r="B119" s="23" t="str">
        <x:v>MKI67</x:v>
      </x:c>
      <x:c r="C119" s="23" t="str">
        <x:v>Cell proliferation</x:v>
      </x:c>
      <x:c r="D119" s="23" t="str">
        <x:v>Chromosome-associated protein expressed through active cell-cycle phases; organizes mitotic chromosome surfaces and marks proliferation.</x:v>
      </x:c>
      <x:c r="E119" s="23" t="str">
        <x:v>High</x:v>
      </x:c>
      <x:c r="F119" s="23" t="str">
        <x:v>MGI2020;ALLIANCE2024;UNIPROT2025;NCBIGENE2015;REACTOME2024</x:v>
      </x:c>
      <x:c r="G119" s="23" t="str">
        <x:v>https://www.informatics.jax.org/quicksearch/summary?queryType=exactPhrase&amp;query=Mki67</x:v>
      </x:c>
      <x:c r="H119" s="23" t="str">
        <x:v>https://www.uniprot.org/uniprotkb?query=%28gene_exact%3AMki67%29+AND+%28organism_id%3A10090%29</x:v>
      </x:c>
      <x:c r="I119" s="23" t="str">
        <x:v>https://www.ncbi.nlm.nih.gov/gene/?term=Mki67%5Bgene%5D%20AND%20Mus%20musculus%5Borgn%5D</x:v>
      </x:c>
      <x:c r="J119" s="23" t="str">
        <x:v>https://reactome.org/content/query?q=Mki67&amp;species=Mus%20musculus</x:v>
      </x:c>
      <x:c r="K119" s="23" t="str">
        <x:v>https://pubmed.ncbi.nlm.nih.gov/?term=(Mki67%5BTitle%2FAbstract%5D)%20AND%20(mouse%20OR%20murine)</x:v>
      </x:c>
    </x:row>
    <x:row r="120">
      <x:c r="A120" s="22" t="str">
        <x:v>Mmp19</x:v>
      </x:c>
      <x:c r="B120" s="23" t="str">
        <x:v>MMP19</x:v>
      </x:c>
      <x:c r="C120" s="23" t="str">
        <x:v>Extracellular-matrix proteolysis</x:v>
      </x:c>
      <x:c r="D120" s="23" t="str">
        <x:v>Secreted/membrane-associated matrix metalloproteinase that cleaves extracellular-matrix and signaling substrates during remodeling/inflammation.</x:v>
      </x:c>
      <x:c r="E120" s="23" t="str">
        <x:v>Moderate</x:v>
      </x:c>
      <x:c r="F120" s="23" t="str">
        <x:v>MGI2020;ALLIANCE2024;UNIPROT2025;NCBIGENE2015;REACTOME2024</x:v>
      </x:c>
      <x:c r="G120" s="23" t="str">
        <x:v>https://www.informatics.jax.org/quicksearch/summary?queryType=exactPhrase&amp;query=Mmp19</x:v>
      </x:c>
      <x:c r="H120" s="23" t="str">
        <x:v>https://www.uniprot.org/uniprotkb?query=%28gene_exact%3AMmp19%29+AND+%28organism_id%3A10090%29</x:v>
      </x:c>
      <x:c r="I120" s="23" t="str">
        <x:v>https://www.ncbi.nlm.nih.gov/gene/?term=Mmp19%5Bgene%5D%20AND%20Mus%20musculus%5Borgn%5D</x:v>
      </x:c>
      <x:c r="J120" s="23" t="str">
        <x:v>https://reactome.org/content/query?q=Mmp19&amp;species=Mus%20musculus</x:v>
      </x:c>
      <x:c r="K120" s="23" t="str">
        <x:v>https://pubmed.ncbi.nlm.nih.gov/?term=(Mmp19%5BTitle%2FAbstract%5D)%20AND%20(mouse%20OR%20murine)</x:v>
      </x:c>
    </x:row>
    <x:row r="121">
      <x:c r="A121" s="22" t="str">
        <x:v>Mmp8</x:v>
      </x:c>
      <x:c r="B121" s="23" t="str">
        <x:v>MMP8</x:v>
      </x:c>
      <x:c r="C121" s="23" t="str">
        <x:v>Extracellular-matrix proteolysis; neutrophil granules</x:v>
      </x:c>
      <x:c r="D121" s="23" t="str">
        <x:v>Neutrophil collagenase cleaving fibrillar collagens and other extracellular/inflammatory substrates.</x:v>
      </x:c>
      <x:c r="E121" s="23" t="str">
        <x:v>High</x:v>
      </x:c>
      <x:c r="F121" s="23" t="str">
        <x:v>MGI2020;ALLIANCE2024;UNIPROT2025;NCBIGENE2015;REACTOME2024</x:v>
      </x:c>
      <x:c r="G121" s="23" t="str">
        <x:v>https://www.informatics.jax.org/quicksearch/summary?queryType=exactPhrase&amp;query=Mmp8</x:v>
      </x:c>
      <x:c r="H121" s="23" t="str">
        <x:v>https://www.uniprot.org/uniprotkb?query=%28gene_exact%3AMmp8%29+AND+%28organism_id%3A10090%29</x:v>
      </x:c>
      <x:c r="I121" s="23" t="str">
        <x:v>https://www.ncbi.nlm.nih.gov/gene/?term=Mmp8%5Bgene%5D%20AND%20Mus%20musculus%5Borgn%5D</x:v>
      </x:c>
      <x:c r="J121" s="23" t="str">
        <x:v>https://reactome.org/content/query?q=Mmp8&amp;species=Mus%20musculus</x:v>
      </x:c>
      <x:c r="K121" s="23" t="str">
        <x:v>https://pubmed.ncbi.nlm.nih.gov/?term=(Mmp8%5BTitle%2FAbstract%5D)%20AND%20(mouse%20OR%20murine)</x:v>
      </x:c>
    </x:row>
    <x:row r="122">
      <x:c r="A122" s="22" t="str">
        <x:v>Mov10</x:v>
      </x:c>
      <x:c r="B122" s="23" t="str">
        <x:v>MOV10</x:v>
      </x:c>
      <x:c r="C122" s="23" t="str">
        <x:v>RNA helicase; antiviral/post-transcriptional control</x:v>
      </x:c>
      <x:c r="D122" s="23" t="str">
        <x:v>RNA helicase associated with RISC and ribonucleoprotein complexes, affecting RNA stability, translation and retroelement/viral restriction.</x:v>
      </x:c>
      <x:c r="E122" s="23" t="str">
        <x:v>High</x:v>
      </x:c>
      <x:c r="F122" s="23" t="str">
        <x:v>MGI2020;ALLIANCE2024;UNIPROT2025;NCBIGENE2015;REACTOME2024</x:v>
      </x:c>
      <x:c r="G122" s="23" t="str">
        <x:v>https://www.informatics.jax.org/quicksearch/summary?queryType=exactPhrase&amp;query=Mov10</x:v>
      </x:c>
      <x:c r="H122" s="23" t="str">
        <x:v>https://www.uniprot.org/uniprotkb?query=%28gene_exact%3AMov10%29+AND+%28organism_id%3A10090%29</x:v>
      </x:c>
      <x:c r="I122" s="23" t="str">
        <x:v>https://www.ncbi.nlm.nih.gov/gene/?term=Mov10%5Bgene%5D%20AND%20Mus%20musculus%5Borgn%5D</x:v>
      </x:c>
      <x:c r="J122" s="23" t="str">
        <x:v>https://reactome.org/content/query?q=Mov10&amp;species=Mus%20musculus</x:v>
      </x:c>
      <x:c r="K122" s="23" t="str">
        <x:v>https://pubmed.ncbi.nlm.nih.gov/?term=(Mov10%5BTitle%2FAbstract%5D)%20AND%20(mouse%20OR%20murine)</x:v>
      </x:c>
    </x:row>
    <x:row r="123">
      <x:c r="A123" s="22" t="str">
        <x:v>Mpeg1</x:v>
      </x:c>
      <x:c r="B123" s="23" t="str">
        <x:v>MPEG1</x:v>
      </x:c>
      <x:c r="C123" s="23" t="str">
        <x:v>Pore-forming antimicrobial defense</x:v>
      </x:c>
      <x:c r="D123" s="23" t="str">
        <x:v>Macrophage-expressed perforin-like protein that damages microbial membranes within phagosomal compartments.</x:v>
      </x:c>
      <x:c r="E123" s="23" t="str">
        <x:v>Moderate</x:v>
      </x:c>
      <x:c r="F123" s="23" t="str">
        <x:v>MGI2020;ALLIANCE2024;UNIPROT2025;NCBIGENE2015;REACTOME2024</x:v>
      </x:c>
      <x:c r="G123" s="23" t="str">
        <x:v>https://www.informatics.jax.org/quicksearch/summary?queryType=exactPhrase&amp;query=Mpeg1</x:v>
      </x:c>
      <x:c r="H123" s="23" t="str">
        <x:v>https://www.uniprot.org/uniprotkb?query=%28gene_exact%3AMpeg1%29+AND+%28organism_id%3A10090%29</x:v>
      </x:c>
      <x:c r="I123" s="23" t="str">
        <x:v>https://www.ncbi.nlm.nih.gov/gene/?term=Mpeg1%5Bgene%5D%20AND%20Mus%20musculus%5Borgn%5D</x:v>
      </x:c>
      <x:c r="J123" s="23" t="str">
        <x:v>https://reactome.org/content/query?q=Mpeg1&amp;species=Mus%20musculus</x:v>
      </x:c>
      <x:c r="K123" s="23" t="str">
        <x:v>https://pubmed.ncbi.nlm.nih.gov/?term=(Mpeg1%5BTitle%2FAbstract%5D)%20AND%20(mouse%20OR%20murine)</x:v>
      </x:c>
    </x:row>
    <x:row r="124">
      <x:c r="A124" s="22" t="str">
        <x:v>Mrc1</x:v>
      </x:c>
      <x:c r="B124" s="23" t="str">
        <x:v>MRC1</x:v>
      </x:c>
      <x:c r="C124" s="23" t="str">
        <x:v>Lectin-mediated endocytosis; tissue macrophages</x:v>
      </x:c>
      <x:c r="D124" s="23" t="str">
        <x:v>Mannose receptor recognizing terminal mannose/fucose/GlcNAc glycans and mediating endocytosis of glycoproteins, microbes and debris.</x:v>
      </x:c>
      <x:c r="E124" s="23" t="str">
        <x:v>High</x:v>
      </x:c>
      <x:c r="F124" s="23" t="str">
        <x:v>MGI2020;ALLIANCE2024;UNIPROT2025;NCBIGENE2015;REACTOME2024</x:v>
      </x:c>
      <x:c r="G124" s="23" t="str">
        <x:v>https://www.informatics.jax.org/quicksearch/summary?queryType=exactPhrase&amp;query=Mrc1</x:v>
      </x:c>
      <x:c r="H124" s="23" t="str">
        <x:v>https://www.uniprot.org/uniprotkb?query=%28gene_exact%3AMrc1%29+AND+%28organism_id%3A10090%29</x:v>
      </x:c>
      <x:c r="I124" s="23" t="str">
        <x:v>https://www.ncbi.nlm.nih.gov/gene/?term=Mrc1%5Bgene%5D%20AND%20Mus%20musculus%5Borgn%5D</x:v>
      </x:c>
      <x:c r="J124" s="23" t="str">
        <x:v>https://reactome.org/content/query?q=Mrc1&amp;species=Mus%20musculus</x:v>
      </x:c>
      <x:c r="K124" s="23" t="str">
        <x:v>https://pubmed.ncbi.nlm.nih.gov/?term=(Mrc1%5BTitle%2FAbstract%5D)%20AND%20(mouse%20OR%20murine)</x:v>
      </x:c>
    </x:row>
    <x:row r="125">
      <x:c r="A125" s="22" t="str">
        <x:v>Ms4a6c</x:v>
      </x:c>
      <x:c r="B125" s="23" t="str">
        <x:v>MS4A6A/MS4A6E</x:v>
      </x:c>
      <x:c r="C125" s="23" t="str">
        <x:v>MS4A-family membrane signaling; myeloid marker</x:v>
      </x:c>
      <x:c r="D125" s="23" t="str">
        <x:v>Mouse MS4A6-family membrane protein predicted to participate in cell-surface signaling; exact ligands and mechanism remain poorly defined.</x:v>
      </x:c>
      <x:c r="E125" s="23" t="str">
        <x:v>Low</x:v>
      </x:c>
      <x:c r="F125" s="23" t="str">
        <x:v>MGI2020;ALLIANCE2024;UNIPROT2025;NCBIGENE2015;REACTOME2024</x:v>
      </x:c>
      <x:c r="G125" s="23" t="str">
        <x:v>https://www.informatics.jax.org/quicksearch/summary?queryType=exactPhrase&amp;query=Ms4a6c</x:v>
      </x:c>
      <x:c r="H125" s="23" t="str">
        <x:v>https://www.uniprot.org/uniprotkb?query=%28gene_exact%3AMs4a6c%29+AND+%28organism_id%3A10090%29</x:v>
      </x:c>
      <x:c r="I125" s="23" t="str">
        <x:v>https://www.ncbi.nlm.nih.gov/gene/?term=Ms4a6c%5Bgene%5D%20AND%20Mus%20musculus%5Borgn%5D</x:v>
      </x:c>
      <x:c r="J125" s="23" t="str">
        <x:v>https://reactome.org/content/query?q=Ms4a6c&amp;species=Mus%20musculus</x:v>
      </x:c>
      <x:c r="K125" s="23" t="str">
        <x:v>https://pubmed.ncbi.nlm.nih.gov/?term=(Ms4a6c%5BTitle%2FAbstract%5D)%20AND%20(mouse%20OR%20murine)</x:v>
      </x:c>
    </x:row>
    <x:row r="126">
      <x:c r="A126" s="22" t="str">
        <x:v>Myo1f</x:v>
      </x:c>
      <x:c r="B126" s="23" t="str">
        <x:v>MYO1F</x:v>
      </x:c>
      <x:c r="C126" s="23" t="str">
        <x:v>Actin-based membrane dynamics</x:v>
      </x:c>
      <x:c r="D126" s="23" t="str">
        <x:v>Class-I myosin regulating membrane-cytoskeleton coupling, adhesion, migration and phagosome dynamics in leukocytes.</x:v>
      </x:c>
      <x:c r="E126" s="23" t="str">
        <x:v>High</x:v>
      </x:c>
      <x:c r="F126" s="23" t="str">
        <x:v>MGI2020;ALLIANCE2024;UNIPROT2025;NCBIGENE2015;REACTOME2024</x:v>
      </x:c>
      <x:c r="G126" s="23" t="str">
        <x:v>https://www.informatics.jax.org/quicksearch/summary?queryType=exactPhrase&amp;query=Myo1f</x:v>
      </x:c>
      <x:c r="H126" s="23" t="str">
        <x:v>https://www.uniprot.org/uniprotkb?query=%28gene_exact%3AMyo1f%29+AND+%28organism_id%3A10090%29</x:v>
      </x:c>
      <x:c r="I126" s="23" t="str">
        <x:v>https://www.ncbi.nlm.nih.gov/gene/?term=Myo1f%5Bgene%5D%20AND%20Mus%20musculus%5Borgn%5D</x:v>
      </x:c>
      <x:c r="J126" s="23" t="str">
        <x:v>https://reactome.org/content/query?q=Myo1f&amp;species=Mus%20musculus</x:v>
      </x:c>
      <x:c r="K126" s="23" t="str">
        <x:v>https://pubmed.ncbi.nlm.nih.gov/?term=(Myo1f%5BTitle%2FAbstract%5D)%20AND%20(mouse%20OR%20murine)</x:v>
      </x:c>
    </x:row>
    <x:row r="127">
      <x:c r="A127" s="22" t="str">
        <x:v>Myo1g</x:v>
      </x:c>
      <x:c r="B127" s="23" t="str">
        <x:v>MYO1G</x:v>
      </x:c>
      <x:c r="C127" s="23" t="str">
        <x:v>Actin-based membrane dynamics</x:v>
      </x:c>
      <x:c r="D127" s="23" t="str">
        <x:v>Hematopoietic class-I myosin supporting plasma-membrane tension, migration and immune-cell deformation.</x:v>
      </x:c>
      <x:c r="E127" s="23" t="str">
        <x:v>High</x:v>
      </x:c>
      <x:c r="F127" s="23" t="str">
        <x:v>MGI2020;ALLIANCE2024;UNIPROT2025;NCBIGENE2015;REACTOME2024</x:v>
      </x:c>
      <x:c r="G127" s="23" t="str">
        <x:v>https://www.informatics.jax.org/quicksearch/summary?queryType=exactPhrase&amp;query=Myo1g</x:v>
      </x:c>
      <x:c r="H127" s="23" t="str">
        <x:v>https://www.uniprot.org/uniprotkb?query=%28gene_exact%3AMyo1g%29+AND+%28organism_id%3A10090%29</x:v>
      </x:c>
      <x:c r="I127" s="23" t="str">
        <x:v>https://www.ncbi.nlm.nih.gov/gene/?term=Myo1g%5Bgene%5D%20AND%20Mus%20musculus%5Borgn%5D</x:v>
      </x:c>
      <x:c r="J127" s="23" t="str">
        <x:v>https://reactome.org/content/query?q=Myo1g&amp;species=Mus%20musculus</x:v>
      </x:c>
      <x:c r="K127" s="23" t="str">
        <x:v>https://pubmed.ncbi.nlm.nih.gov/?term=(Myo1g%5BTitle%2FAbstract%5D)%20AND%20(mouse%20OR%20murine)</x:v>
      </x:c>
    </x:row>
    <x:row r="128">
      <x:c r="A128" s="22" t="str">
        <x:v>Naglu</x:v>
      </x:c>
      <x:c r="B128" s="23" t="str">
        <x:v>NAGLU</x:v>
      </x:c>
      <x:c r="C128" s="23" t="str">
        <x:v>Lysosomal glycosaminoglycan catabolism</x:v>
      </x:c>
      <x:c r="D128" s="23" t="str">
        <x:v>Alpha-N-acetylglucosaminidase hydrolyzing terminal N-acetylglucosamine residues during stepwise heparan-sulfate degradation.</x:v>
      </x:c>
      <x:c r="E128" s="23" t="str">
        <x:v>High</x:v>
      </x:c>
      <x:c r="F128" s="23" t="str">
        <x:v>MGI2020;ALLIANCE2024;UNIPROT2025;NCBIGENE2015;REACTOME2024</x:v>
      </x:c>
      <x:c r="G128" s="23" t="str">
        <x:v>https://www.informatics.jax.org/quicksearch/summary?queryType=exactPhrase&amp;query=Naglu</x:v>
      </x:c>
      <x:c r="H128" s="23" t="str">
        <x:v>https://www.uniprot.org/uniprotkb?query=%28gene_exact%3ANaglu%29+AND+%28organism_id%3A10090%29</x:v>
      </x:c>
      <x:c r="I128" s="23" t="str">
        <x:v>https://www.ncbi.nlm.nih.gov/gene/?term=Naglu%5Bgene%5D%20AND%20Mus%20musculus%5Borgn%5D</x:v>
      </x:c>
      <x:c r="J128" s="23" t="str">
        <x:v>https://reactome.org/content/query?q=Naglu&amp;species=Mus%20musculus</x:v>
      </x:c>
      <x:c r="K128" s="23" t="str">
        <x:v>https://pubmed.ncbi.nlm.nih.gov/?term=(Naglu%5BTitle%2FAbstract%5D)%20AND%20(mouse%20OR%20murine)</x:v>
      </x:c>
    </x:row>
    <x:row r="129">
      <x:c r="A129" s="22" t="str">
        <x:v>Naip6</x:v>
      </x:c>
      <x:c r="B129" s="23" t="str">
        <x:v>NAIP</x:v>
      </x:c>
      <x:c r="C129" s="23" t="str">
        <x:v>NAIP/NLRC4 inflammasome sensing</x:v>
      </x:c>
      <x:c r="D129" s="23" t="str">
        <x:v>Mouse cytosolic innate sensor recognizing bacterial flagellin and nucleating NLRC4 inflammasome activation.</x:v>
      </x:c>
      <x:c r="E129" s="23" t="str">
        <x:v>High</x:v>
      </x:c>
      <x:c r="F129" s="23" t="str">
        <x:v>MGI2020;ALLIANCE2024;UNIPROT2025;NCBIGENE2015;REACTOME2024</x:v>
      </x:c>
      <x:c r="G129" s="23" t="str">
        <x:v>https://www.informatics.jax.org/quicksearch/summary?queryType=exactPhrase&amp;query=Naip6</x:v>
      </x:c>
      <x:c r="H129" s="23" t="str">
        <x:v>https://www.uniprot.org/uniprotkb?query=%28gene_exact%3ANaip6%29+AND+%28organism_id%3A10090%29</x:v>
      </x:c>
      <x:c r="I129" s="23" t="str">
        <x:v>https://www.ncbi.nlm.nih.gov/gene/?term=Naip6%5Bgene%5D%20AND%20Mus%20musculus%5Borgn%5D</x:v>
      </x:c>
      <x:c r="J129" s="23" t="str">
        <x:v>https://reactome.org/content/query?q=Naip6&amp;species=Mus%20musculus</x:v>
      </x:c>
      <x:c r="K129" s="23" t="str">
        <x:v>https://pubmed.ncbi.nlm.nih.gov/?term=(Naip6%5BTitle%2FAbstract%5D)%20AND%20(mouse%20OR%20murine)</x:v>
      </x:c>
    </x:row>
    <x:row r="130">
      <x:c r="A130" s="22" t="str">
        <x:v>Ncf1</x:v>
      </x:c>
      <x:c r="B130" s="23" t="str">
        <x:v>NCF1</x:v>
      </x:c>
      <x:c r="C130" s="23" t="str">
        <x:v>Phagocyte oxidase assembly; redox defense</x:v>
      </x:c>
      <x:c r="D130" s="23" t="str">
        <x:v>Cytosolic p47phox organizer subunit required to assemble/activate the NOX2 NADPH oxidase.</x:v>
      </x:c>
      <x:c r="E130" s="23" t="str">
        <x:v>High</x:v>
      </x:c>
      <x:c r="F130" s="23" t="str">
        <x:v>MGI2020;ALLIANCE2024;UNIPROT2025;NCBIGENE2015;REACTOME2024</x:v>
      </x:c>
      <x:c r="G130" s="23" t="str">
        <x:v>https://www.informatics.jax.org/quicksearch/summary?queryType=exactPhrase&amp;query=Ncf1</x:v>
      </x:c>
      <x:c r="H130" s="23" t="str">
        <x:v>https://www.uniprot.org/uniprotkb?query=%28gene_exact%3ANcf1%29+AND+%28organism_id%3A10090%29</x:v>
      </x:c>
      <x:c r="I130" s="23" t="str">
        <x:v>https://www.ncbi.nlm.nih.gov/gene/?term=Ncf1%5Bgene%5D%20AND%20Mus%20musculus%5Borgn%5D</x:v>
      </x:c>
      <x:c r="J130" s="23" t="str">
        <x:v>https://reactome.org/content/query?q=Ncf1&amp;species=Mus%20musculus</x:v>
      </x:c>
      <x:c r="K130" s="23" t="str">
        <x:v>https://pubmed.ncbi.nlm.nih.gov/?term=(Ncf1%5BTitle%2FAbstract%5D)%20AND%20(mouse%20OR%20murine)</x:v>
      </x:c>
    </x:row>
    <x:row r="131">
      <x:c r="A131" s="22" t="str">
        <x:v>Ncf2</x:v>
      </x:c>
      <x:c r="B131" s="23" t="str">
        <x:v>NCF2</x:v>
      </x:c>
      <x:c r="C131" s="23" t="str">
        <x:v>Phagocyte oxidase assembly; redox defense</x:v>
      </x:c>
      <x:c r="D131" s="23" t="str">
        <x:v>Cytosolic p67phox activator subunit that stimulates electron transfer by the NOX2 complex.</x:v>
      </x:c>
      <x:c r="E131" s="23" t="str">
        <x:v>High</x:v>
      </x:c>
      <x:c r="F131" s="23" t="str">
        <x:v>MGI2020;ALLIANCE2024;UNIPROT2025;NCBIGENE2015;REACTOME2024</x:v>
      </x:c>
      <x:c r="G131" s="23" t="str">
        <x:v>https://www.informatics.jax.org/quicksearch/summary?queryType=exactPhrase&amp;query=Ncf2</x:v>
      </x:c>
      <x:c r="H131" s="23" t="str">
        <x:v>https://www.uniprot.org/uniprotkb?query=%28gene_exact%3ANcf2%29+AND+%28organism_id%3A10090%29</x:v>
      </x:c>
      <x:c r="I131" s="23" t="str">
        <x:v>https://www.ncbi.nlm.nih.gov/gene/?term=Ncf2%5Bgene%5D%20AND%20Mus%20musculus%5Borgn%5D</x:v>
      </x:c>
      <x:c r="J131" s="23" t="str">
        <x:v>https://reactome.org/content/query?q=Ncf2&amp;species=Mus%20musculus</x:v>
      </x:c>
      <x:c r="K131" s="23" t="str">
        <x:v>https://pubmed.ncbi.nlm.nih.gov/?term=(Ncf2%5BTitle%2FAbstract%5D)%20AND%20(mouse%20OR%20murine)</x:v>
      </x:c>
    </x:row>
    <x:row r="132">
      <x:c r="A132" s="22" t="str">
        <x:v>Nfkbia</x:v>
      </x:c>
      <x:c r="B132" s="23" t="str">
        <x:v>NFKBIA</x:v>
      </x:c>
      <x:c r="C132" s="23" t="str">
        <x:v>NF-kappaB inhibition; inflammatory signal control</x:v>
      </x:c>
      <x:c r="D132" s="23" t="str">
        <x:v>I-kappaB-alpha retains NF-kappaB dimers in the cytoplasm and is degraded after pathway activation, creating a negative-feedback loop.</x:v>
      </x:c>
      <x:c r="E132" s="23" t="str">
        <x:v>High</x:v>
      </x:c>
      <x:c r="F132" s="23" t="str">
        <x:v>MGI2020;ALLIANCE2024;UNIPROT2025;NCBIGENE2015;REACTOME2024</x:v>
      </x:c>
      <x:c r="G132" s="23" t="str">
        <x:v>https://www.informatics.jax.org/quicksearch/summary?queryType=exactPhrase&amp;query=Nfkbia</x:v>
      </x:c>
      <x:c r="H132" s="23" t="str">
        <x:v>https://www.uniprot.org/uniprotkb?query=%28gene_exact%3ANfkbia%29+AND+%28organism_id%3A10090%29</x:v>
      </x:c>
      <x:c r="I132" s="23" t="str">
        <x:v>https://www.ncbi.nlm.nih.gov/gene/?term=Nfkbia%5Bgene%5D%20AND%20Mus%20musculus%5Borgn%5D</x:v>
      </x:c>
      <x:c r="J132" s="23" t="str">
        <x:v>https://reactome.org/content/query?q=Nfkbia&amp;species=Mus%20musculus</x:v>
      </x:c>
      <x:c r="K132" s="23" t="str">
        <x:v>https://pubmed.ncbi.nlm.nih.gov/?term=(Nfkbia%5BTitle%2FAbstract%5D)%20AND%20(mouse%20OR%20murine)</x:v>
      </x:c>
    </x:row>
    <x:row r="133">
      <x:c r="A133" s="22" t="str">
        <x:v>Nfkbiz</x:v>
      </x:c>
      <x:c r="B133" s="23" t="str">
        <x:v>NFKBIZ</x:v>
      </x:c>
      <x:c r="C133" s="23" t="str">
        <x:v>NF-kappaB transcriptional co-regulation</x:v>
      </x:c>
      <x:c r="D133" s="23" t="str">
        <x:v>Nuclear I-kappaB-zeta co-regulator induced by TLR/IL-1 signals and required for a subset of secondary inflammatory genes.</x:v>
      </x:c>
      <x:c r="E133" s="23" t="str">
        <x:v>High</x:v>
      </x:c>
      <x:c r="F133" s="23" t="str">
        <x:v>MGI2020;ALLIANCE2024;UNIPROT2025;NCBIGENE2015;REACTOME2024</x:v>
      </x:c>
      <x:c r="G133" s="23" t="str">
        <x:v>https://www.informatics.jax.org/quicksearch/summary?queryType=exactPhrase&amp;query=Nfkbiz</x:v>
      </x:c>
      <x:c r="H133" s="23" t="str">
        <x:v>https://www.uniprot.org/uniprotkb?query=%28gene_exact%3ANfkbiz%29+AND+%28organism_id%3A10090%29</x:v>
      </x:c>
      <x:c r="I133" s="23" t="str">
        <x:v>https://www.ncbi.nlm.nih.gov/gene/?term=Nfkbiz%5Bgene%5D%20AND%20Mus%20musculus%5Borgn%5D</x:v>
      </x:c>
      <x:c r="J133" s="23" t="str">
        <x:v>https://reactome.org/content/query?q=Nfkbiz&amp;species=Mus%20musculus</x:v>
      </x:c>
      <x:c r="K133" s="23" t="str">
        <x:v>https://pubmed.ncbi.nlm.nih.gov/?term=(Nfkbiz%5BTitle%2FAbstract%5D)%20AND%20(mouse%20OR%20murine)</x:v>
      </x:c>
    </x:row>
    <x:row r="134">
      <x:c r="A134" s="22" t="str">
        <x:v>Nmi</x:v>
      </x:c>
      <x:c r="B134" s="23" t="str">
        <x:v>NMI</x:v>
      </x:c>
      <x:c r="C134" s="23" t="str">
        <x:v>JAK-STAT/transcriptional co-regulation</x:v>
      </x:c>
      <x:c r="D134" s="23" t="str">
        <x:v>N-MYC-interactor protein that modulates STAT and other transcription-factor programs; effects vary with cell state.</x:v>
      </x:c>
      <x:c r="E134" s="23" t="str">
        <x:v>Moderate</x:v>
      </x:c>
      <x:c r="F134" s="23" t="str">
        <x:v>MGI2020;ALLIANCE2024;UNIPROT2025;NCBIGENE2015;REACTOME2024</x:v>
      </x:c>
      <x:c r="G134" s="23" t="str">
        <x:v>https://www.informatics.jax.org/quicksearch/summary?queryType=exactPhrase&amp;query=Nmi</x:v>
      </x:c>
      <x:c r="H134" s="23" t="str">
        <x:v>https://www.uniprot.org/uniprotkb?query=%28gene_exact%3ANmi%29+AND+%28organism_id%3A10090%29</x:v>
      </x:c>
      <x:c r="I134" s="23" t="str">
        <x:v>https://www.ncbi.nlm.nih.gov/gene/?term=Nmi%5Bgene%5D%20AND%20Mus%20musculus%5Borgn%5D</x:v>
      </x:c>
      <x:c r="J134" s="23" t="str">
        <x:v>https://reactome.org/content/query?q=Nmi&amp;species=Mus%20musculus</x:v>
      </x:c>
      <x:c r="K134" s="23" t="str">
        <x:v>https://pubmed.ncbi.nlm.nih.gov/?term=(Nmi%5BTitle%2FAbstract%5D)%20AND%20(mouse%20OR%20murine)</x:v>
      </x:c>
    </x:row>
    <x:row r="135">
      <x:c r="A135" s="22" t="str">
        <x:v>Nmnat2</x:v>
      </x:c>
      <x:c r="B135" s="23" t="str">
        <x:v>NMNAT2</x:v>
      </x:c>
      <x:c r="C135" s="23" t="str">
        <x:v>NAD biosynthesis; axon maintenance</x:v>
      </x:c>
      <x:c r="D135" s="23" t="str">
        <x:v>Nicotinamide-mononucleotide adenylyltransferase producing NAD from NMN and ATP; labile axonal survival factor opposing SARM1-dependent degeneration.</x:v>
      </x:c>
      <x:c r="E135" s="23" t="str">
        <x:v>High</x:v>
      </x:c>
      <x:c r="F135" s="23" t="str">
        <x:v>MGI2020;ALLIANCE2024;UNIPROT2025;NCBIGENE2015;REACTOME2024</x:v>
      </x:c>
      <x:c r="G135" s="23" t="str">
        <x:v>https://www.informatics.jax.org/quicksearch/summary?queryType=exactPhrase&amp;query=Nmnat2</x:v>
      </x:c>
      <x:c r="H135" s="23" t="str">
        <x:v>https://www.uniprot.org/uniprotkb?query=%28gene_exact%3ANmnat2%29+AND+%28organism_id%3A10090%29</x:v>
      </x:c>
      <x:c r="I135" s="23" t="str">
        <x:v>https://www.ncbi.nlm.nih.gov/gene/?term=Nmnat2%5Bgene%5D%20AND%20Mus%20musculus%5Borgn%5D</x:v>
      </x:c>
      <x:c r="J135" s="23" t="str">
        <x:v>https://reactome.org/content/query?q=Nmnat2&amp;species=Mus%20musculus</x:v>
      </x:c>
      <x:c r="K135" s="23" t="str">
        <x:v>https://pubmed.ncbi.nlm.nih.gov/?term=(Nmnat2%5BTitle%2FAbstract%5D)%20AND%20(mouse%20OR%20murine)</x:v>
      </x:c>
    </x:row>
    <x:row r="136">
      <x:c r="A136" s="22" t="str">
        <x:v>Npc2</x:v>
      </x:c>
      <x:c r="B136" s="23" t="str">
        <x:v>NPC2</x:v>
      </x:c>
      <x:c r="C136" s="23" t="str">
        <x:v>Lysosomal cholesterol trafficking</x:v>
      </x:c>
      <x:c r="D136" s="23" t="str">
        <x:v>Soluble lysosomal sterol-binding protein transferring LDL-derived cholesterol to/from NPC1 and intralysosomal membranes.</x:v>
      </x:c>
      <x:c r="E136" s="23" t="str">
        <x:v>High</x:v>
      </x:c>
      <x:c r="F136" s="23" t="str">
        <x:v>MGI2020;ALLIANCE2024;UNIPROT2025;NCBIGENE2015;REACTOME2024</x:v>
      </x:c>
      <x:c r="G136" s="23" t="str">
        <x:v>https://www.informatics.jax.org/quicksearch/summary?queryType=exactPhrase&amp;query=Npc2</x:v>
      </x:c>
      <x:c r="H136" s="23" t="str">
        <x:v>https://www.uniprot.org/uniprotkb?query=%28gene_exact%3ANpc2%29+AND+%28organism_id%3A10090%29</x:v>
      </x:c>
      <x:c r="I136" s="23" t="str">
        <x:v>https://www.ncbi.nlm.nih.gov/gene/?term=Npc2%5Bgene%5D%20AND%20Mus%20musculus%5Borgn%5D</x:v>
      </x:c>
      <x:c r="J136" s="23" t="str">
        <x:v>https://reactome.org/content/query?q=Npc2&amp;species=Mus%20musculus</x:v>
      </x:c>
      <x:c r="K136" s="23" t="str">
        <x:v>https://pubmed.ncbi.nlm.nih.gov/?term=(Npc2%5BTitle%2FAbstract%5D)%20AND%20(mouse%20OR%20murine)</x:v>
      </x:c>
    </x:row>
    <x:row r="137">
      <x:c r="A137" s="22" t="str">
        <x:v>Nt5c</x:v>
      </x:c>
      <x:c r="B137" s="23" t="str">
        <x:v>NT5C</x:v>
      </x:c>
      <x:c r="C137" s="23" t="str">
        <x:v>Nucleotide catabolism</x:v>
      </x:c>
      <x:c r="D137" s="23" t="str">
        <x:v>Cytosolic 5-prime nucleotidase hydrolyzing selected nucleoside monophosphates to nucleosides and phosphate.</x:v>
      </x:c>
      <x:c r="E137" s="23" t="str">
        <x:v>High</x:v>
      </x:c>
      <x:c r="F137" s="23" t="str">
        <x:v>MGI2020;ALLIANCE2024;UNIPROT2025;NCBIGENE2015;REACTOME2024</x:v>
      </x:c>
      <x:c r="G137" s="23" t="str">
        <x:v>https://www.informatics.jax.org/quicksearch/summary?queryType=exactPhrase&amp;query=Nt5c</x:v>
      </x:c>
      <x:c r="H137" s="23" t="str">
        <x:v>https://www.uniprot.org/uniprotkb?query=%28gene_exact%3ANt5c%29+AND+%28organism_id%3A10090%29</x:v>
      </x:c>
      <x:c r="I137" s="23" t="str">
        <x:v>https://www.ncbi.nlm.nih.gov/gene/?term=Nt5c%5Bgene%5D%20AND%20Mus%20musculus%5Borgn%5D</x:v>
      </x:c>
      <x:c r="J137" s="23" t="str">
        <x:v>https://reactome.org/content/query?q=Nt5c&amp;species=Mus%20musculus</x:v>
      </x:c>
      <x:c r="K137" s="23" t="str">
        <x:v>https://pubmed.ncbi.nlm.nih.gov/?term=(Nt5c%5BTitle%2FAbstract%5D)%20AND%20(mouse%20OR%20murine)</x:v>
      </x:c>
    </x:row>
    <x:row r="138">
      <x:c r="A138" s="22" t="str">
        <x:v>Nub1</x:v>
      </x:c>
      <x:c r="B138" s="23" t="str">
        <x:v>NUB1</x:v>
      </x:c>
      <x:c r="C138" s="23" t="str">
        <x:v>Ubiquitin-like protein turnover</x:v>
      </x:c>
      <x:c r="D138" s="23" t="str">
        <x:v>Interferon-inducible adaptor that recruits NEDD8/FAT10-conjugated proteins toward proteasomal degradation; not established as a core death protein.</x:v>
      </x:c>
      <x:c r="E138" s="23" t="str">
        <x:v>High</x:v>
      </x:c>
      <x:c r="F138" s="23" t="str">
        <x:v>MGI2020;ALLIANCE2024;UNIPROT2025;NCBIGENE2015;REACTOME2024</x:v>
      </x:c>
      <x:c r="G138" s="23" t="str">
        <x:v>https://www.informatics.jax.org/quicksearch/summary?queryType=exactPhrase&amp;query=Nub1</x:v>
      </x:c>
      <x:c r="H138" s="23" t="str">
        <x:v>https://www.uniprot.org/uniprotkb?query=%28gene_exact%3ANub1%29+AND+%28organism_id%3A10090%29</x:v>
      </x:c>
      <x:c r="I138" s="23" t="str">
        <x:v>https://www.ncbi.nlm.nih.gov/gene/?term=Nub1%5Bgene%5D%20AND%20Mus%20musculus%5Borgn%5D</x:v>
      </x:c>
      <x:c r="J138" s="23" t="str">
        <x:v>https://reactome.org/content/query?q=Nub1&amp;species=Mus%20musculus</x:v>
      </x:c>
      <x:c r="K138" s="23" t="str">
        <x:v>https://pubmed.ncbi.nlm.nih.gov/?term=(Nub1%5BTitle%2FAbstract%5D)%20AND%20(mouse%20OR%20murine)</x:v>
      </x:c>
    </x:row>
    <x:row r="139">
      <x:c r="A139" s="22" t="str">
        <x:v>Oas1a</x:v>
      </x:c>
      <x:c r="B139" s="23" t="str">
        <x:v>OAS1</x:v>
      </x:c>
      <x:c r="C139" s="23" t="str">
        <x:v>Antiviral nucleotide signaling</x:v>
      </x:c>
      <x:c r="D139" s="23" t="str">
        <x:v>Interferon-induced 2-prime-5-prime oligoadenylate synthetase that uses ATP to make 2-5A activators of RNase L after sensing dsRNA.</x:v>
      </x:c>
      <x:c r="E139" s="23" t="str">
        <x:v>High</x:v>
      </x:c>
      <x:c r="F139" s="23" t="str">
        <x:v>MGI2020;ALLIANCE2024;UNIPROT2025;NCBIGENE2015;REACTOME2024</x:v>
      </x:c>
      <x:c r="G139" s="23" t="str">
        <x:v>https://www.informatics.jax.org/quicksearch/summary?queryType=exactPhrase&amp;query=Oas1a</x:v>
      </x:c>
      <x:c r="H139" s="23" t="str">
        <x:v>https://www.uniprot.org/uniprotkb?query=%28gene_exact%3AOas1a%29+AND+%28organism_id%3A10090%29</x:v>
      </x:c>
      <x:c r="I139" s="23" t="str">
        <x:v>https://www.ncbi.nlm.nih.gov/gene/?term=Oas1a%5Bgene%5D%20AND%20Mus%20musculus%5Borgn%5D</x:v>
      </x:c>
      <x:c r="J139" s="23" t="str">
        <x:v>https://reactome.org/content/query?q=Oas1a&amp;species=Mus%20musculus</x:v>
      </x:c>
      <x:c r="K139" s="23" t="str">
        <x:v>https://pubmed.ncbi.nlm.nih.gov/?term=(Oas1a%5BTitle%2FAbstract%5D)%20AND%20(mouse%20OR%20murine)</x:v>
      </x:c>
    </x:row>
    <x:row r="140">
      <x:c r="A140" s="22" t="str">
        <x:v>Os9</x:v>
      </x:c>
      <x:c r="B140" s="23" t="str">
        <x:v>OS9</x:v>
      </x:c>
      <x:c r="C140" s="23" t="str">
        <x:v>ER-associated degradation</x:v>
      </x:c>
      <x:c r="D140" s="23" t="str">
        <x:v>ER lectin recognizing misfolded glycoproteins and delivering them to the SEL1L-HRD1 ERAD machinery.</x:v>
      </x:c>
      <x:c r="E140" s="23" t="str">
        <x:v>High</x:v>
      </x:c>
      <x:c r="F140" s="23" t="str">
        <x:v>MGI2020;ALLIANCE2024;UNIPROT2025;NCBIGENE2015;REACTOME2024</x:v>
      </x:c>
      <x:c r="G140" s="23" t="str">
        <x:v>https://www.informatics.jax.org/quicksearch/summary?queryType=exactPhrase&amp;query=Os9</x:v>
      </x:c>
      <x:c r="H140" s="23" t="str">
        <x:v>https://www.uniprot.org/uniprotkb?query=%28gene_exact%3AOs9%29+AND+%28organism_id%3A10090%29</x:v>
      </x:c>
      <x:c r="I140" s="23" t="str">
        <x:v>https://www.ncbi.nlm.nih.gov/gene/?term=Os9%5Bgene%5D%20AND%20Mus%20musculus%5Borgn%5D</x:v>
      </x:c>
      <x:c r="J140" s="23" t="str">
        <x:v>https://reactome.org/content/query?q=Os9&amp;species=Mus%20musculus</x:v>
      </x:c>
      <x:c r="K140" s="23" t="str">
        <x:v>https://pubmed.ncbi.nlm.nih.gov/?term=(Os9%5BTitle%2FAbstract%5D)%20AND%20(mouse%20OR%20murine)</x:v>
      </x:c>
    </x:row>
    <x:row r="141">
      <x:c r="A141" s="22" t="str">
        <x:v>Osm</x:v>
      </x:c>
      <x:c r="B141" s="23" t="str">
        <x:v>OSM</x:v>
      </x:c>
      <x:c r="C141" s="23" t="str">
        <x:v>IL-6-family cytokine signaling</x:v>
      </x:c>
      <x:c r="D141" s="23" t="str">
        <x:v>Oncostatin M activates OSMR/LIFR complexes to regulate inflammation, hematopoiesis, tissue remodeling and growth.</x:v>
      </x:c>
      <x:c r="E141" s="23" t="str">
        <x:v>High</x:v>
      </x:c>
      <x:c r="F141" s="23" t="str">
        <x:v>MGI2020;ALLIANCE2024;UNIPROT2025;NCBIGENE2015;REACTOME2024</x:v>
      </x:c>
      <x:c r="G141" s="23" t="str">
        <x:v>https://www.informatics.jax.org/quicksearch/summary?queryType=exactPhrase&amp;query=Osm</x:v>
      </x:c>
      <x:c r="H141" s="23" t="str">
        <x:v>https://www.uniprot.org/uniprotkb?query=%28gene_exact%3AOsm%29+AND+%28organism_id%3A10090%29</x:v>
      </x:c>
      <x:c r="I141" s="23" t="str">
        <x:v>https://www.ncbi.nlm.nih.gov/gene/?term=Osm%5Bgene%5D%20AND%20Mus%20musculus%5Borgn%5D</x:v>
      </x:c>
      <x:c r="J141" s="23" t="str">
        <x:v>https://reactome.org/content/query?q=Osm&amp;species=Mus%20musculus</x:v>
      </x:c>
      <x:c r="K141" s="23" t="str">
        <x:v>https://pubmed.ncbi.nlm.nih.gov/?term=(Osm%5BTitle%2FAbstract%5D)%20AND%20(mouse%20OR%20murine)</x:v>
      </x:c>
    </x:row>
    <x:row r="142">
      <x:c r="A142" s="22" t="str">
        <x:v>P2ry6</x:v>
      </x:c>
      <x:c r="B142" s="23" t="str">
        <x:v>P2RY6</x:v>
      </x:c>
      <x:c r="C142" s="23" t="str">
        <x:v>Purinergic signaling; phagocytosis</x:v>
      </x:c>
      <x:c r="D142" s="23" t="str">
        <x:v>Gq-coupled receptor for extracellular UDP, activating PLC/calcium signaling and promoting chemotaxis or phagocytosis in selected cells.</x:v>
      </x:c>
      <x:c r="E142" s="23" t="str">
        <x:v>High</x:v>
      </x:c>
      <x:c r="F142" s="23" t="str">
        <x:v>MGI2020;ALLIANCE2024;UNIPROT2025;NCBIGENE2015;REACTOME2024</x:v>
      </x:c>
      <x:c r="G142" s="23" t="str">
        <x:v>https://www.informatics.jax.org/quicksearch/summary?queryType=exactPhrase&amp;query=P2ry6</x:v>
      </x:c>
      <x:c r="H142" s="23" t="str">
        <x:v>https://www.uniprot.org/uniprotkb?query=%28gene_exact%3AP2ry6%29+AND+%28organism_id%3A10090%29</x:v>
      </x:c>
      <x:c r="I142" s="23" t="str">
        <x:v>https://www.ncbi.nlm.nih.gov/gene/?term=P2ry6%5Bgene%5D%20AND%20Mus%20musculus%5Borgn%5D</x:v>
      </x:c>
      <x:c r="J142" s="23" t="str">
        <x:v>https://reactome.org/content/query?q=P2ry6&amp;species=Mus%20musculus</x:v>
      </x:c>
      <x:c r="K142" s="23" t="str">
        <x:v>https://pubmed.ncbi.nlm.nih.gov/?term=(P2ry6%5BTitle%2FAbstract%5D)%20AND%20(mouse%20OR%20murine)</x:v>
      </x:c>
    </x:row>
    <x:row r="143">
      <x:c r="A143" s="22" t="str">
        <x:v>Pald1</x:v>
      </x:c>
      <x:c r="B143" s="23" t="str">
        <x:v>PALD1</x:v>
      </x:c>
      <x:c r="C143" s="23" t="str">
        <x:v>Vascular/innate signaling; phosphatase-like protein</x:v>
      </x:c>
      <x:c r="D143" s="23" t="str">
        <x:v>Paladin is a phosphatase-domain protein associated with endothelial signaling and angiogenesis; catalytic specificity and immune roles remain incompletely resolved.</x:v>
      </x:c>
      <x:c r="E143" s="23" t="str">
        <x:v>Low</x:v>
      </x:c>
      <x:c r="F143" s="23" t="str">
        <x:v>MGI2020;ALLIANCE2024;UNIPROT2025;NCBIGENE2015;REACTOME2024</x:v>
      </x:c>
      <x:c r="G143" s="23" t="str">
        <x:v>https://www.informatics.jax.org/quicksearch/summary?queryType=exactPhrase&amp;query=Pald1</x:v>
      </x:c>
      <x:c r="H143" s="23" t="str">
        <x:v>https://www.uniprot.org/uniprotkb?query=%28gene_exact%3APald1%29+AND+%28organism_id%3A10090%29</x:v>
      </x:c>
      <x:c r="I143" s="23" t="str">
        <x:v>https://www.ncbi.nlm.nih.gov/gene/?term=Pald1%5Bgene%5D%20AND%20Mus%20musculus%5Borgn%5D</x:v>
      </x:c>
      <x:c r="J143" s="23" t="str">
        <x:v>https://reactome.org/content/query?q=Pald1&amp;species=Mus%20musculus</x:v>
      </x:c>
      <x:c r="K143" s="23" t="str">
        <x:v>https://pubmed.ncbi.nlm.nih.gov/?term=(Pald1%5BTitle%2FAbstract%5D)%20AND%20(mouse%20OR%20murine)</x:v>
      </x:c>
    </x:row>
    <x:row r="144">
      <x:c r="A144" s="22" t="str">
        <x:v>Pdia6</x:v>
      </x:c>
      <x:c r="B144" s="23" t="str">
        <x:v>PDIA6</x:v>
      </x:c>
      <x:c r="C144" s="23" t="str">
        <x:v>ER oxidative folding and stress signaling</x:v>
      </x:c>
      <x:c r="D144" s="23" t="str">
        <x:v>Protein disulfide isomerase-family oxidoreductase assisting disulfide-bond formation and modulating unfolded-protein-response sensors.</x:v>
      </x:c>
      <x:c r="E144" s="23" t="str">
        <x:v>High</x:v>
      </x:c>
      <x:c r="F144" s="23" t="str">
        <x:v>MGI2020;ALLIANCE2024;UNIPROT2025;NCBIGENE2015;REACTOME2024</x:v>
      </x:c>
      <x:c r="G144" s="23" t="str">
        <x:v>https://www.informatics.jax.org/quicksearch/summary?queryType=exactPhrase&amp;query=Pdia6</x:v>
      </x:c>
      <x:c r="H144" s="23" t="str">
        <x:v>https://www.uniprot.org/uniprotkb?query=%28gene_exact%3APdia6%29+AND+%28organism_id%3A10090%29</x:v>
      </x:c>
      <x:c r="I144" s="23" t="str">
        <x:v>https://www.ncbi.nlm.nih.gov/gene/?term=Pdia6%5Bgene%5D%20AND%20Mus%20musculus%5Borgn%5D</x:v>
      </x:c>
      <x:c r="J144" s="23" t="str">
        <x:v>https://reactome.org/content/query?q=Pdia6&amp;species=Mus%20musculus</x:v>
      </x:c>
      <x:c r="K144" s="23" t="str">
        <x:v>https://pubmed.ncbi.nlm.nih.gov/?term=(Pdia6%5BTitle%2FAbstract%5D)%20AND%20(mouse%20OR%20murine)</x:v>
      </x:c>
    </x:row>
    <x:row r="145">
      <x:c r="A145" s="22" t="str">
        <x:v>Pgd</x:v>
      </x:c>
      <x:c r="B145" s="23" t="str">
        <x:v>PGD</x:v>
      </x:c>
      <x:c r="C145" s="23" t="str">
        <x:v>Oxidative pentose-phosphate pathway</x:v>
      </x:c>
      <x:c r="D145" s="23" t="str">
        <x:v>6-phosphogluconate dehydrogenase converts 6-phosphogluconate to ribulose-5-phosphate while generating NADPH and CO2.</x:v>
      </x:c>
      <x:c r="E145" s="23" t="str">
        <x:v>High</x:v>
      </x:c>
      <x:c r="F145" s="23" t="str">
        <x:v>MGI2020;ALLIANCE2024;UNIPROT2025;NCBIGENE2015;REACTOME2024</x:v>
      </x:c>
      <x:c r="G145" s="23" t="str">
        <x:v>https://www.informatics.jax.org/quicksearch/summary?queryType=exactPhrase&amp;query=Pgd</x:v>
      </x:c>
      <x:c r="H145" s="23" t="str">
        <x:v>https://www.uniprot.org/uniprotkb?query=%28gene_exact%3APgd%29+AND+%28organism_id%3A10090%29</x:v>
      </x:c>
      <x:c r="I145" s="23" t="str">
        <x:v>https://www.ncbi.nlm.nih.gov/gene/?term=Pgd%5Bgene%5D%20AND%20Mus%20musculus%5Borgn%5D</x:v>
      </x:c>
      <x:c r="J145" s="23" t="str">
        <x:v>https://reactome.org/content/query?q=Pgd&amp;species=Mus%20musculus</x:v>
      </x:c>
      <x:c r="K145" s="23" t="str">
        <x:v>https://pubmed.ncbi.nlm.nih.gov/?term=(Pgd%5BTitle%2FAbstract%5D)%20AND%20(mouse%20OR%20murine)</x:v>
      </x:c>
    </x:row>
    <x:row r="146">
      <x:c r="A146" s="22" t="str">
        <x:v>Pglyrp1</x:v>
      </x:c>
      <x:c r="B146" s="23" t="str">
        <x:v>PGLYRP1</x:v>
      </x:c>
      <x:c r="C146" s="23" t="str">
        <x:v>Bacterial pattern recognition; neutrophil granules</x:v>
      </x:c>
      <x:c r="D146" s="23" t="str">
        <x:v>Secreted peptidoglycan-recognition protein with antibacterial activity and immunomodulatory effects, abundant in neutrophil granules.</x:v>
      </x:c>
      <x:c r="E146" s="23" t="str">
        <x:v>High</x:v>
      </x:c>
      <x:c r="F146" s="23" t="str">
        <x:v>MGI2020;ALLIANCE2024;UNIPROT2025;NCBIGENE2015;REACTOME2024</x:v>
      </x:c>
      <x:c r="G146" s="23" t="str">
        <x:v>https://www.informatics.jax.org/quicksearch/summary?queryType=exactPhrase&amp;query=Pglyrp1</x:v>
      </x:c>
      <x:c r="H146" s="23" t="str">
        <x:v>https://www.uniprot.org/uniprotkb?query=%28gene_exact%3APglyrp1%29+AND+%28organism_id%3A10090%29</x:v>
      </x:c>
      <x:c r="I146" s="23" t="str">
        <x:v>https://www.ncbi.nlm.nih.gov/gene/?term=Pglyrp1%5Bgene%5D%20AND%20Mus%20musculus%5Borgn%5D</x:v>
      </x:c>
      <x:c r="J146" s="23" t="str">
        <x:v>https://reactome.org/content/query?q=Pglyrp1&amp;species=Mus%20musculus</x:v>
      </x:c>
      <x:c r="K146" s="23" t="str">
        <x:v>https://pubmed.ncbi.nlm.nih.gov/?term=(Pglyrp1%5BTitle%2FAbstract%5D)%20AND%20(mouse%20OR%20murine)</x:v>
      </x:c>
    </x:row>
    <x:row r="147">
      <x:c r="A147" s="22" t="str">
        <x:v>Pik3cg</x:v>
      </x:c>
      <x:c r="B147" s="23" t="str">
        <x:v>PIK3CG</x:v>
      </x:c>
      <x:c r="C147" s="23" t="str">
        <x:v>Phosphoinositide signaling; leukocyte migration</x:v>
      </x:c>
      <x:c r="D147" s="23" t="str">
        <x:v>PI3K-gamma catalytic subunit phosphorylates PIP2 to PIP3 downstream of GPCRs, recruiting AKT/GEF pathways in immune cells.</x:v>
      </x:c>
      <x:c r="E147" s="23" t="str">
        <x:v>High</x:v>
      </x:c>
      <x:c r="F147" s="23" t="str">
        <x:v>MGI2020;ALLIANCE2024;UNIPROT2025;NCBIGENE2015;REACTOME2024</x:v>
      </x:c>
      <x:c r="G147" s="23" t="str">
        <x:v>https://www.informatics.jax.org/quicksearch/summary?queryType=exactPhrase&amp;query=Pik3cg</x:v>
      </x:c>
      <x:c r="H147" s="23" t="str">
        <x:v>https://www.uniprot.org/uniprotkb?query=%28gene_exact%3APik3cg%29+AND+%28organism_id%3A10090%29</x:v>
      </x:c>
      <x:c r="I147" s="23" t="str">
        <x:v>https://www.ncbi.nlm.nih.gov/gene/?term=Pik3cg%5Bgene%5D%20AND%20Mus%20musculus%5Borgn%5D</x:v>
      </x:c>
      <x:c r="J147" s="23" t="str">
        <x:v>https://reactome.org/content/query?q=Pik3cg&amp;species=Mus%20musculus</x:v>
      </x:c>
      <x:c r="K147" s="23" t="str">
        <x:v>https://pubmed.ncbi.nlm.nih.gov/?term=(Pik3cg%5BTitle%2FAbstract%5D)%20AND%20(mouse%20OR%20murine)</x:v>
      </x:c>
    </x:row>
    <x:row r="148">
      <x:c r="A148" s="22" t="str">
        <x:v>Pirb</x:v>
      </x:c>
      <x:c r="B148" s="23" t="str">
        <x:v>LILRA1/2/3/4/6 and LILRB1/2/5</x:v>
      </x:c>
      <x:c r="C148" s="23" t="str">
        <x:v>Inhibitory immunoreceptor signaling</x:v>
      </x:c>
      <x:c r="D148" s="23" t="str">
        <x:v>Mouse ITIM-bearing paired Ig-like receptor binding MHC-I and other ligands; recruits SHP phosphatases to limit immune and neural signaling.</x:v>
      </x:c>
      <x:c r="E148" s="23" t="str">
        <x:v>High</x:v>
      </x:c>
      <x:c r="F148" s="23" t="str">
        <x:v>MGI2020;ALLIANCE2024;UNIPROT2025;NCBIGENE2015;REACTOME2024</x:v>
      </x:c>
      <x:c r="G148" s="23" t="str">
        <x:v>https://www.informatics.jax.org/quicksearch/summary?queryType=exactPhrase&amp;query=Pirb</x:v>
      </x:c>
      <x:c r="H148" s="23" t="str">
        <x:v>https://www.uniprot.org/uniprotkb?query=%28gene_exact%3APirb%29+AND+%28organism_id%3A10090%29</x:v>
      </x:c>
      <x:c r="I148" s="23" t="str">
        <x:v>https://www.ncbi.nlm.nih.gov/gene/?term=Pirb%5Bgene%5D%20AND%20Mus%20musculus%5Borgn%5D</x:v>
      </x:c>
      <x:c r="J148" s="23" t="str">
        <x:v>https://reactome.org/content/query?q=Pirb&amp;species=Mus%20musculus</x:v>
      </x:c>
      <x:c r="K148" s="23" t="str">
        <x:v>https://pubmed.ncbi.nlm.nih.gov/?term=(Pirb%5BTitle%2FAbstract%5D)%20AND%20(mouse%20OR%20murine)</x:v>
      </x:c>
    </x:row>
    <x:row r="149">
      <x:c r="A149" s="22" t="str">
        <x:v>Plau</x:v>
      </x:c>
      <x:c r="B149" s="23" t="str">
        <x:v>PLAU</x:v>
      </x:c>
      <x:c r="C149" s="23" t="str">
        <x:v>Pericellular proteolysis; fibrinolysis</x:v>
      </x:c>
      <x:c r="D149" s="23" t="str">
        <x:v>Urokinase converts plasminogen to plasmin at cell surfaces, enabling fibrinolysis, matrix remodeling and migration.</x:v>
      </x:c>
      <x:c r="E149" s="23" t="str">
        <x:v>High</x:v>
      </x:c>
      <x:c r="F149" s="23" t="str">
        <x:v>MGI2020;ALLIANCE2024;UNIPROT2025;NCBIGENE2015;REACTOME2024</x:v>
      </x:c>
      <x:c r="G149" s="23" t="str">
        <x:v>https://www.informatics.jax.org/quicksearch/summary?queryType=exactPhrase&amp;query=Plau</x:v>
      </x:c>
      <x:c r="H149" s="23" t="str">
        <x:v>https://www.uniprot.org/uniprotkb?query=%28gene_exact%3APlau%29+AND+%28organism_id%3A10090%29</x:v>
      </x:c>
      <x:c r="I149" s="23" t="str">
        <x:v>https://www.ncbi.nlm.nih.gov/gene/?term=Plau%5Bgene%5D%20AND%20Mus%20musculus%5Borgn%5D</x:v>
      </x:c>
      <x:c r="J149" s="23" t="str">
        <x:v>https://reactome.org/content/query?q=Plau&amp;species=Mus%20musculus</x:v>
      </x:c>
      <x:c r="K149" s="23" t="str">
        <x:v>https://pubmed.ncbi.nlm.nih.gov/?term=(Plau%5BTitle%2FAbstract%5D)%20AND%20(mouse%20OR%20murine)</x:v>
      </x:c>
    </x:row>
    <x:row r="150">
      <x:c r="A150" s="22" t="str">
        <x:v>Plaur</x:v>
      </x:c>
      <x:c r="B150" s="23" t="str">
        <x:v>PLAUR</x:v>
      </x:c>
      <x:c r="C150" s="23" t="str">
        <x:v>Urokinase receptor; adhesion and proteolysis localization</x:v>
      </x:c>
      <x:c r="D150" s="23" t="str">
        <x:v>GPI-anchored receptor concentrating PLAU activity and integrating vitronectin/integrin signaling during migration and tissue remodeling.</x:v>
      </x:c>
      <x:c r="E150" s="23" t="str">
        <x:v>High</x:v>
      </x:c>
      <x:c r="F150" s="23" t="str">
        <x:v>MGI2020;ALLIANCE2024;UNIPROT2025;NCBIGENE2015;REACTOME2024</x:v>
      </x:c>
      <x:c r="G150" s="23" t="str">
        <x:v>https://www.informatics.jax.org/quicksearch/summary?queryType=exactPhrase&amp;query=Plaur</x:v>
      </x:c>
      <x:c r="H150" s="23" t="str">
        <x:v>https://www.uniprot.org/uniprotkb?query=%28gene_exact%3APlaur%29+AND+%28organism_id%3A10090%29</x:v>
      </x:c>
      <x:c r="I150" s="23" t="str">
        <x:v>https://www.ncbi.nlm.nih.gov/gene/?term=Plaur%5Bgene%5D%20AND%20Mus%20musculus%5Borgn%5D</x:v>
      </x:c>
      <x:c r="J150" s="23" t="str">
        <x:v>https://reactome.org/content/query?q=Plaur&amp;species=Mus%20musculus</x:v>
      </x:c>
      <x:c r="K150" s="23" t="str">
        <x:v>https://pubmed.ncbi.nlm.nih.gov/?term=(Plaur%5BTitle%2FAbstract%5D)%20AND%20(mouse%20OR%20murine)</x:v>
      </x:c>
    </x:row>
    <x:row r="151">
      <x:c r="A151" s="22" t="str">
        <x:v>Plbd1</x:v>
      </x:c>
      <x:c r="B151" s="23" t="str">
        <x:v>PLBD1</x:v>
      </x:c>
      <x:c r="C151" s="23" t="str">
        <x:v>Putative lipid hydrolase; myeloid biology</x:v>
      </x:c>
      <x:c r="D151" s="23" t="str">
        <x:v>Secreted/lysosomal phospholipase-B-domain protein; biochemical substrate specificity and physiological lipid role remain poorly established.</x:v>
      </x:c>
      <x:c r="E151" s="23" t="str">
        <x:v>Low</x:v>
      </x:c>
      <x:c r="F151" s="23" t="str">
        <x:v>MGI2020;ALLIANCE2024;UNIPROT2025;NCBIGENE2015;REACTOME2024</x:v>
      </x:c>
      <x:c r="G151" s="23" t="str">
        <x:v>https://www.informatics.jax.org/quicksearch/summary?queryType=exactPhrase&amp;query=Plbd1</x:v>
      </x:c>
      <x:c r="H151" s="23" t="str">
        <x:v>https://www.uniprot.org/uniprotkb?query=%28gene_exact%3APlbd1%29+AND+%28organism_id%3A10090%29</x:v>
      </x:c>
      <x:c r="I151" s="23" t="str">
        <x:v>https://www.ncbi.nlm.nih.gov/gene/?term=Plbd1%5Bgene%5D%20AND%20Mus%20musculus%5Borgn%5D</x:v>
      </x:c>
      <x:c r="J151" s="23" t="str">
        <x:v>https://reactome.org/content/query?q=Plbd1&amp;species=Mus%20musculus</x:v>
      </x:c>
      <x:c r="K151" s="23" t="str">
        <x:v>https://pubmed.ncbi.nlm.nih.gov/?term=(Plbd1%5BTitle%2FAbstract%5D)%20AND%20(mouse%20OR%20murine)</x:v>
      </x:c>
    </x:row>
    <x:row r="152">
      <x:c r="A152" s="22" t="str">
        <x:v>Plcb2</x:v>
      </x:c>
      <x:c r="B152" s="23" t="str">
        <x:v>PLCB2</x:v>
      </x:c>
      <x:c r="C152" s="23" t="str">
        <x:v>Phosphoinositide hydrolysis; calcium signaling</x:v>
      </x:c>
      <x:c r="D152" s="23" t="str">
        <x:v>PLC-beta2 hydrolyzes PIP2 to diacylglycerol and IP3 downstream of GPCRs, activating PKC and calcium signaling in hematopoietic cells.</x:v>
      </x:c>
      <x:c r="E152" s="23" t="str">
        <x:v>High</x:v>
      </x:c>
      <x:c r="F152" s="23" t="str">
        <x:v>MGI2020;ALLIANCE2024;UNIPROT2025;NCBIGENE2015;REACTOME2024</x:v>
      </x:c>
      <x:c r="G152" s="23" t="str">
        <x:v>https://www.informatics.jax.org/quicksearch/summary?queryType=exactPhrase&amp;query=Plcb2</x:v>
      </x:c>
      <x:c r="H152" s="23" t="str">
        <x:v>https://www.uniprot.org/uniprotkb?query=%28gene_exact%3APlcb2%29+AND+%28organism_id%3A10090%29</x:v>
      </x:c>
      <x:c r="I152" s="23" t="str">
        <x:v>https://www.ncbi.nlm.nih.gov/gene/?term=Plcb2%5Bgene%5D%20AND%20Mus%20musculus%5Borgn%5D</x:v>
      </x:c>
      <x:c r="J152" s="23" t="str">
        <x:v>https://reactome.org/content/query?q=Plcb2&amp;species=Mus%20musculus</x:v>
      </x:c>
      <x:c r="K152" s="23" t="str">
        <x:v>https://pubmed.ncbi.nlm.nih.gov/?term=(Plcb2%5BTitle%2FAbstract%5D)%20AND%20(mouse%20OR%20murine)</x:v>
      </x:c>
    </x:row>
    <x:row r="153">
      <x:c r="A153" s="22" t="str">
        <x:v>Pld4</x:v>
      </x:c>
      <x:c r="B153" s="23" t="str">
        <x:v>PLD4</x:v>
      </x:c>
      <x:c r="C153" s="23" t="str">
        <x:v>Endolysosomal nucleic-acid degradation</x:v>
      </x:c>
      <x:c r="D153" s="23" t="str">
        <x:v>Despite its name, PLD4 is a 5-prime exonuclease acting on single-stranded nucleic acids in endolysosomes; not an established phospholipase.</x:v>
      </x:c>
      <x:c r="E153" s="23" t="str">
        <x:v>High</x:v>
      </x:c>
      <x:c r="F153" s="23" t="str">
        <x:v>MGI2020;ALLIANCE2024;UNIPROT2025;NCBIGENE2015;REACTOME2024</x:v>
      </x:c>
      <x:c r="G153" s="23" t="str">
        <x:v>https://www.informatics.jax.org/quicksearch/summary?queryType=exactPhrase&amp;query=Pld4</x:v>
      </x:c>
      <x:c r="H153" s="23" t="str">
        <x:v>https://www.uniprot.org/uniprotkb?query=%28gene_exact%3APld4%29+AND+%28organism_id%3A10090%29</x:v>
      </x:c>
      <x:c r="I153" s="23" t="str">
        <x:v>https://www.ncbi.nlm.nih.gov/gene/?term=Pld4%5Bgene%5D%20AND%20Mus%20musculus%5Borgn%5D</x:v>
      </x:c>
      <x:c r="J153" s="23" t="str">
        <x:v>https://reactome.org/content/query?q=Pld4&amp;species=Mus%20musculus</x:v>
      </x:c>
      <x:c r="K153" s="23" t="str">
        <x:v>https://pubmed.ncbi.nlm.nih.gov/?term=(Pld4%5BTitle%2FAbstract%5D)%20AND%20(mouse%20OR%20murine)</x:v>
      </x:c>
    </x:row>
    <x:row r="154">
      <x:c r="A154" s="22" t="str">
        <x:v>Prex1</x:v>
      </x:c>
      <x:c r="B154" s="23" t="str">
        <x:v>PREX1</x:v>
      </x:c>
      <x:c r="C154" s="23" t="str">
        <x:v>PIP3-dependent RAC activation</x:v>
      </x:c>
      <x:c r="D154" s="23" t="str">
        <x:v>RAC guanine-nucleotide exchange factor activated synergistically by PIP3 and G-beta-gamma, promoting chemotaxis and NOX2 activation.</x:v>
      </x:c>
      <x:c r="E154" s="23" t="str">
        <x:v>High</x:v>
      </x:c>
      <x:c r="F154" s="23" t="str">
        <x:v>MGI2020;ALLIANCE2024;UNIPROT2025;NCBIGENE2015;REACTOME2024</x:v>
      </x:c>
      <x:c r="G154" s="23" t="str">
        <x:v>https://www.informatics.jax.org/quicksearch/summary?queryType=exactPhrase&amp;query=Prex1</x:v>
      </x:c>
      <x:c r="H154" s="23" t="str">
        <x:v>https://www.uniprot.org/uniprotkb?query=%28gene_exact%3APrex1%29+AND+%28organism_id%3A10090%29</x:v>
      </x:c>
      <x:c r="I154" s="23" t="str">
        <x:v>https://www.ncbi.nlm.nih.gov/gene/?term=Prex1%5Bgene%5D%20AND%20Mus%20musculus%5Borgn%5D</x:v>
      </x:c>
      <x:c r="J154" s="23" t="str">
        <x:v>https://reactome.org/content/query?q=Prex1&amp;species=Mus%20musculus</x:v>
      </x:c>
      <x:c r="K154" s="23" t="str">
        <x:v>https://pubmed.ncbi.nlm.nih.gov/?term=(Prex1%5BTitle%2FAbstract%5D)%20AND%20(mouse%20OR%20murine)</x:v>
      </x:c>
    </x:row>
    <x:row r="155">
      <x:c r="A155" s="22" t="str">
        <x:v>Prkcd</x:v>
      </x:c>
      <x:c r="B155" s="23" t="str">
        <x:v>PRKCD</x:v>
      </x:c>
      <x:c r="C155" s="23" t="str">
        <x:v>DAG-responsive kinase; immune and death signaling</x:v>
      </x:c>
      <x:c r="D155" s="23" t="str">
        <x:v>Novel PKC isoform activated by diacylglycerol and phosphorylation; regulates apoptosis, proliferation, immune signaling and mitophagy in context-dependent directions.</x:v>
      </x:c>
      <x:c r="E155" s="23" t="str">
        <x:v>High</x:v>
      </x:c>
      <x:c r="F155" s="23" t="str">
        <x:v>MGI2020;ALLIANCE2024;UNIPROT2025;NCBIGENE2015;REACTOME2024</x:v>
      </x:c>
      <x:c r="G155" s="23" t="str">
        <x:v>https://www.informatics.jax.org/quicksearch/summary?queryType=exactPhrase&amp;query=Prkcd</x:v>
      </x:c>
      <x:c r="H155" s="23" t="str">
        <x:v>https://www.uniprot.org/uniprotkb?query=%28gene_exact%3APrkcd%29+AND+%28organism_id%3A10090%29</x:v>
      </x:c>
      <x:c r="I155" s="23" t="str">
        <x:v>https://www.ncbi.nlm.nih.gov/gene/?term=Prkcd%5Bgene%5D%20AND%20Mus%20musculus%5Borgn%5D</x:v>
      </x:c>
      <x:c r="J155" s="23" t="str">
        <x:v>https://reactome.org/content/query?q=Prkcd&amp;species=Mus%20musculus</x:v>
      </x:c>
      <x:c r="K155" s="23" t="str">
        <x:v>https://pubmed.ncbi.nlm.nih.gov/?term=(Prkcd%5BTitle%2FAbstract%5D)%20AND%20(mouse%20OR%20murine)</x:v>
      </x:c>
    </x:row>
    <x:row r="156">
      <x:c r="A156" s="22" t="str">
        <x:v>Psap</x:v>
      </x:c>
      <x:c r="B156" s="23" t="str">
        <x:v>PSAP</x:v>
      </x:c>
      <x:c r="C156" s="23" t="str">
        <x:v>Lysosomal sphingolipid degradation; neurotrophic signaling</x:v>
      </x:c>
      <x:c r="D156" s="23" t="str">
        <x:v>Prosaposin precursor is cleaved into saposins A-D, essential cofactors for lysosomal glycosphingolipid hydrolases; secreted PSAP also has trophic actions.</x:v>
      </x:c>
      <x:c r="E156" s="23" t="str">
        <x:v>High</x:v>
      </x:c>
      <x:c r="F156" s="23" t="str">
        <x:v>MGI2020;ALLIANCE2024;UNIPROT2025;NCBIGENE2015;REACTOME2024</x:v>
      </x:c>
      <x:c r="G156" s="23" t="str">
        <x:v>https://www.informatics.jax.org/quicksearch/summary?queryType=exactPhrase&amp;query=Psap</x:v>
      </x:c>
      <x:c r="H156" s="23" t="str">
        <x:v>https://www.uniprot.org/uniprotkb?query=%28gene_exact%3APsap%29+AND+%28organism_id%3A10090%29</x:v>
      </x:c>
      <x:c r="I156" s="23" t="str">
        <x:v>https://www.ncbi.nlm.nih.gov/gene/?term=Psap%5Bgene%5D%20AND%20Mus%20musculus%5Borgn%5D</x:v>
      </x:c>
      <x:c r="J156" s="23" t="str">
        <x:v>https://reactome.org/content/query?q=Psap&amp;species=Mus%20musculus</x:v>
      </x:c>
      <x:c r="K156" s="23" t="str">
        <x:v>https://pubmed.ncbi.nlm.nih.gov/?term=(Psap%5BTitle%2FAbstract%5D)%20AND%20(mouse%20OR%20murine)</x:v>
      </x:c>
    </x:row>
    <x:row r="157">
      <x:c r="A157" s="22" t="str">
        <x:v>Psmb10</x:v>
      </x:c>
      <x:c r="B157" s="23" t="str">
        <x:v>PSMB10</x:v>
      </x:c>
      <x:c r="C157" s="23" t="str">
        <x:v>Immunoproteasome proteolysis</x:v>
      </x:c>
      <x:c r="D157" s="23" t="str">
        <x:v>Inducible beta2i immunoproteasome catalytic subunit shaping proteolysis and MHC-I peptide production during interferon responses.</x:v>
      </x:c>
      <x:c r="E157" s="23" t="str">
        <x:v>High</x:v>
      </x:c>
      <x:c r="F157" s="23" t="str">
        <x:v>MGI2020;ALLIANCE2024;UNIPROT2025;NCBIGENE2015;REACTOME2024</x:v>
      </x:c>
      <x:c r="G157" s="23" t="str">
        <x:v>https://www.informatics.jax.org/quicksearch/summary?queryType=exactPhrase&amp;query=Psmb10</x:v>
      </x:c>
      <x:c r="H157" s="23" t="str">
        <x:v>https://www.uniprot.org/uniprotkb?query=%28gene_exact%3APsmb10%29+AND+%28organism_id%3A10090%29</x:v>
      </x:c>
      <x:c r="I157" s="23" t="str">
        <x:v>https://www.ncbi.nlm.nih.gov/gene/?term=Psmb10%5Bgene%5D%20AND%20Mus%20musculus%5Borgn%5D</x:v>
      </x:c>
      <x:c r="J157" s="23" t="str">
        <x:v>https://reactome.org/content/query?q=Psmb10&amp;species=Mus%20musculus</x:v>
      </x:c>
      <x:c r="K157" s="23" t="str">
        <x:v>https://pubmed.ncbi.nlm.nih.gov/?term=(Psmb10%5BTitle%2FAbstract%5D)%20AND%20(mouse%20OR%20murine)</x:v>
      </x:c>
    </x:row>
    <x:row r="158">
      <x:c r="A158" s="22" t="str">
        <x:v>Psmb8</x:v>
      </x:c>
      <x:c r="B158" s="23" t="str">
        <x:v>PSMB8</x:v>
      </x:c>
      <x:c r="C158" s="23" t="str">
        <x:v>Immunoproteasome proteolysis</x:v>
      </x:c>
      <x:c r="D158" s="23" t="str">
        <x:v>Inducible beta5i/LMP7 catalytic subunit that changes proteasomal cleavage preferences and antigenic peptide generation.</x:v>
      </x:c>
      <x:c r="E158" s="23" t="str">
        <x:v>High</x:v>
      </x:c>
      <x:c r="F158" s="23" t="str">
        <x:v>MGI2020;ALLIANCE2024;UNIPROT2025;NCBIGENE2015;REACTOME2024</x:v>
      </x:c>
      <x:c r="G158" s="23" t="str">
        <x:v>https://www.informatics.jax.org/quicksearch/summary?queryType=exactPhrase&amp;query=Psmb8</x:v>
      </x:c>
      <x:c r="H158" s="23" t="str">
        <x:v>https://www.uniprot.org/uniprotkb?query=%28gene_exact%3APsmb8%29+AND+%28organism_id%3A10090%29</x:v>
      </x:c>
      <x:c r="I158" s="23" t="str">
        <x:v>https://www.ncbi.nlm.nih.gov/gene/?term=Psmb8%5Bgene%5D%20AND%20Mus%20musculus%5Borgn%5D</x:v>
      </x:c>
      <x:c r="J158" s="23" t="str">
        <x:v>https://reactome.org/content/query?q=Psmb8&amp;species=Mus%20musculus</x:v>
      </x:c>
      <x:c r="K158" s="23" t="str">
        <x:v>https://pubmed.ncbi.nlm.nih.gov/?term=(Psmb8%5BTitle%2FAbstract%5D)%20AND%20(mouse%20OR%20murine)</x:v>
      </x:c>
    </x:row>
    <x:row r="159">
      <x:c r="A159" s="22" t="str">
        <x:v>Psmb9</x:v>
      </x:c>
      <x:c r="B159" s="23" t="str">
        <x:v>PSMB9</x:v>
      </x:c>
      <x:c r="C159" s="23" t="str">
        <x:v>Immunoproteasome proteolysis</x:v>
      </x:c>
      <x:c r="D159" s="23" t="str">
        <x:v>Inducible beta1i/LMP2 catalytic subunit contributing to protein degradation and MHC-I peptide generation.</x:v>
      </x:c>
      <x:c r="E159" s="23" t="str">
        <x:v>High</x:v>
      </x:c>
      <x:c r="F159" s="23" t="str">
        <x:v>MGI2020;ALLIANCE2024;UNIPROT2025;NCBIGENE2015;REACTOME2024</x:v>
      </x:c>
      <x:c r="G159" s="23" t="str">
        <x:v>https://www.informatics.jax.org/quicksearch/summary?queryType=exactPhrase&amp;query=Psmb9</x:v>
      </x:c>
      <x:c r="H159" s="23" t="str">
        <x:v>https://www.uniprot.org/uniprotkb?query=%28gene_exact%3APsmb9%29+AND+%28organism_id%3A10090%29</x:v>
      </x:c>
      <x:c r="I159" s="23" t="str">
        <x:v>https://www.ncbi.nlm.nih.gov/gene/?term=Psmb9%5Bgene%5D%20AND%20Mus%20musculus%5Borgn%5D</x:v>
      </x:c>
      <x:c r="J159" s="23" t="str">
        <x:v>https://reactome.org/content/query?q=Psmb9&amp;species=Mus%20musculus</x:v>
      </x:c>
      <x:c r="K159" s="23" t="str">
        <x:v>https://pubmed.ncbi.nlm.nih.gov/?term=(Psmb9%5BTitle%2FAbstract%5D)%20AND%20(mouse%20OR%20murine)</x:v>
      </x:c>
    </x:row>
    <x:row r="160">
      <x:c r="A160" s="22" t="str">
        <x:v>Psmc3</x:v>
      </x:c>
      <x:c r="B160" s="23" t="str">
        <x:v>PSMC3</x:v>
      </x:c>
      <x:c r="C160" s="23" t="str">
        <x:v>26S proteasome ATPase</x:v>
      </x:c>
      <x:c r="D160" s="23" t="str">
        <x:v>AAA+ ATPase subunit of the 19S regulatory particle that unfolds and translocates ubiquitylated proteins into the 20S core.</x:v>
      </x:c>
      <x:c r="E160" s="23" t="str">
        <x:v>High</x:v>
      </x:c>
      <x:c r="F160" s="23" t="str">
        <x:v>MGI2020;ALLIANCE2024;UNIPROT2025;NCBIGENE2015;REACTOME2024</x:v>
      </x:c>
      <x:c r="G160" s="23" t="str">
        <x:v>https://www.informatics.jax.org/quicksearch/summary?queryType=exactPhrase&amp;query=Psmc3</x:v>
      </x:c>
      <x:c r="H160" s="23" t="str">
        <x:v>https://www.uniprot.org/uniprotkb?query=%28gene_exact%3APsmc3%29+AND+%28organism_id%3A10090%29</x:v>
      </x:c>
      <x:c r="I160" s="23" t="str">
        <x:v>https://www.ncbi.nlm.nih.gov/gene/?term=Psmc3%5Bgene%5D%20AND%20Mus%20musculus%5Borgn%5D</x:v>
      </x:c>
      <x:c r="J160" s="23" t="str">
        <x:v>https://reactome.org/content/query?q=Psmc3&amp;species=Mus%20musculus</x:v>
      </x:c>
      <x:c r="K160" s="23" t="str">
        <x:v>https://pubmed.ncbi.nlm.nih.gov/?term=(Psmc3%5BTitle%2FAbstract%5D)%20AND%20(mouse%20OR%20murine)</x:v>
      </x:c>
    </x:row>
    <x:row r="161">
      <x:c r="A161" s="22" t="str">
        <x:v>Psme1</x:v>
      </x:c>
      <x:c r="B161" s="23" t="str">
        <x:v>PSME1</x:v>
      </x:c>
      <x:c r="C161" s="23" t="str">
        <x:v>Proteasome activation; antigen processing</x:v>
      </x:c>
      <x:c r="D161" s="23" t="str">
        <x:v>PA28alpha proteasome activator subunit induced by interferon and involved in altered peptide generation/proteostasis.</x:v>
      </x:c>
      <x:c r="E161" s="23" t="str">
        <x:v>High</x:v>
      </x:c>
      <x:c r="F161" s="23" t="str">
        <x:v>MGI2020;ALLIANCE2024;UNIPROT2025;NCBIGENE2015;REACTOME2024</x:v>
      </x:c>
      <x:c r="G161" s="23" t="str">
        <x:v>https://www.informatics.jax.org/quicksearch/summary?queryType=exactPhrase&amp;query=Psme1</x:v>
      </x:c>
      <x:c r="H161" s="23" t="str">
        <x:v>https://www.uniprot.org/uniprotkb?query=%28gene_exact%3APsme1%29+AND+%28organism_id%3A10090%29</x:v>
      </x:c>
      <x:c r="I161" s="23" t="str">
        <x:v>https://www.ncbi.nlm.nih.gov/gene/?term=Psme1%5Bgene%5D%20AND%20Mus%20musculus%5Borgn%5D</x:v>
      </x:c>
      <x:c r="J161" s="23" t="str">
        <x:v>https://reactome.org/content/query?q=Psme1&amp;species=Mus%20musculus</x:v>
      </x:c>
      <x:c r="K161" s="23" t="str">
        <x:v>https://pubmed.ncbi.nlm.nih.gov/?term=(Psme1%5BTitle%2FAbstract%5D)%20AND%20(mouse%20OR%20murine)</x:v>
      </x:c>
    </x:row>
    <x:row r="162">
      <x:c r="A162" s="22" t="str">
        <x:v>Ptafr</x:v>
      </x:c>
      <x:c r="B162" s="23" t="str">
        <x:v>PTAFR</x:v>
      </x:c>
      <x:c r="C162" s="23" t="str">
        <x:v>Platelet-activating-factor signaling</x:v>
      </x:c>
      <x:c r="D162" s="23" t="str">
        <x:v>GPCR for the phospholipid mediator PAF, activating inflammatory, chemotactic and vascular responses.</x:v>
      </x:c>
      <x:c r="E162" s="23" t="str">
        <x:v>High</x:v>
      </x:c>
      <x:c r="F162" s="23" t="str">
        <x:v>MGI2020;ALLIANCE2024;UNIPROT2025;NCBIGENE2015;REACTOME2024</x:v>
      </x:c>
      <x:c r="G162" s="23" t="str">
        <x:v>https://www.informatics.jax.org/quicksearch/summary?queryType=exactPhrase&amp;query=Ptafr</x:v>
      </x:c>
      <x:c r="H162" s="23" t="str">
        <x:v>https://www.uniprot.org/uniprotkb?query=%28gene_exact%3APtafr%29+AND+%28organism_id%3A10090%29</x:v>
      </x:c>
      <x:c r="I162" s="23" t="str">
        <x:v>https://www.ncbi.nlm.nih.gov/gene/?term=Ptafr%5Bgene%5D%20AND%20Mus%20musculus%5Borgn%5D</x:v>
      </x:c>
      <x:c r="J162" s="23" t="str">
        <x:v>https://reactome.org/content/query?q=Ptafr&amp;species=Mus%20musculus</x:v>
      </x:c>
      <x:c r="K162" s="23" t="str">
        <x:v>https://pubmed.ncbi.nlm.nih.gov/?term=(Ptafr%5BTitle%2FAbstract%5D)%20AND%20(mouse%20OR%20murine)</x:v>
      </x:c>
    </x:row>
    <x:row r="163">
      <x:c r="A163" s="22" t="str">
        <x:v>Ptger4</x:v>
      </x:c>
      <x:c r="B163" s="23" t="str">
        <x:v>PTGER4</x:v>
      </x:c>
      <x:c r="C163" s="23" t="str">
        <x:v>Prostaglandin E2 signaling</x:v>
      </x:c>
      <x:c r="D163" s="23" t="str">
        <x:v>Gs-coupled EP4 receptor for PGE2, increasing cAMP and regulating inflammation, vascular tone, bone and immune-cell behavior.</x:v>
      </x:c>
      <x:c r="E163" s="23" t="str">
        <x:v>High</x:v>
      </x:c>
      <x:c r="F163" s="23" t="str">
        <x:v>MGI2020;ALLIANCE2024;UNIPROT2025;NCBIGENE2015;REACTOME2024</x:v>
      </x:c>
      <x:c r="G163" s="23" t="str">
        <x:v>https://www.informatics.jax.org/quicksearch/summary?queryType=exactPhrase&amp;query=Ptger4</x:v>
      </x:c>
      <x:c r="H163" s="23" t="str">
        <x:v>https://www.uniprot.org/uniprotkb?query=%28gene_exact%3APtger4%29+AND+%28organism_id%3A10090%29</x:v>
      </x:c>
      <x:c r="I163" s="23" t="str">
        <x:v>https://www.ncbi.nlm.nih.gov/gene/?term=Ptger4%5Bgene%5D%20AND%20Mus%20musculus%5Borgn%5D</x:v>
      </x:c>
      <x:c r="J163" s="23" t="str">
        <x:v>https://reactome.org/content/query?q=Ptger4&amp;species=Mus%20musculus</x:v>
      </x:c>
      <x:c r="K163" s="23" t="str">
        <x:v>https://pubmed.ncbi.nlm.nih.gov/?term=(Ptger4%5BTitle%2FAbstract%5D)%20AND%20(mouse%20OR%20murine)</x:v>
      </x:c>
    </x:row>
    <x:row r="164">
      <x:c r="A164" s="22" t="str">
        <x:v>Ptpn6</x:v>
      </x:c>
      <x:c r="B164" s="23" t="str">
        <x:v>PTPN6</x:v>
      </x:c>
      <x:c r="C164" s="23" t="str">
        <x:v>Inhibitory phosphatase signaling</x:v>
      </x:c>
      <x:c r="D164" s="23" t="str">
        <x:v>SHP-1 tyrosine phosphatase recruited by ITIM receptors and cytokine pathways to restrain activation in hematopoietic cells.</x:v>
      </x:c>
      <x:c r="E164" s="23" t="str">
        <x:v>High</x:v>
      </x:c>
      <x:c r="F164" s="23" t="str">
        <x:v>MGI2020;ALLIANCE2024;UNIPROT2025;NCBIGENE2015;REACTOME2024</x:v>
      </x:c>
      <x:c r="G164" s="23" t="str">
        <x:v>https://www.informatics.jax.org/quicksearch/summary?queryType=exactPhrase&amp;query=Ptpn6</x:v>
      </x:c>
      <x:c r="H164" s="23" t="str">
        <x:v>https://www.uniprot.org/uniprotkb?query=%28gene_exact%3APtpn6%29+AND+%28organism_id%3A10090%29</x:v>
      </x:c>
      <x:c r="I164" s="23" t="str">
        <x:v>https://www.ncbi.nlm.nih.gov/gene/?term=Ptpn6%5Bgene%5D%20AND%20Mus%20musculus%5Borgn%5D</x:v>
      </x:c>
      <x:c r="J164" s="23" t="str">
        <x:v>https://reactome.org/content/query?q=Ptpn6&amp;species=Mus%20musculus</x:v>
      </x:c>
      <x:c r="K164" s="23" t="str">
        <x:v>https://pubmed.ncbi.nlm.nih.gov/?term=(Ptpn6%5BTitle%2FAbstract%5D)%20AND%20(mouse%20OR%20murine)</x:v>
      </x:c>
    </x:row>
    <x:row r="165">
      <x:c r="A165" s="22" t="str">
        <x:v>Ptprf</x:v>
      </x:c>
      <x:c r="B165" s="23" t="str">
        <x:v>PTPRF</x:v>
      </x:c>
      <x:c r="C165" s="23" t="str">
        <x:v>Receptor phosphatase; adhesion</x:v>
      </x:c>
      <x:c r="D165" s="23" t="str">
        <x:v>LAR-family receptor tyrosine phosphatase regulating adhesion, cytoskeleton, growth-factor and insulin-receptor signaling.</x:v>
      </x:c>
      <x:c r="E165" s="23" t="str">
        <x:v>High</x:v>
      </x:c>
      <x:c r="F165" s="23" t="str">
        <x:v>MGI2020;ALLIANCE2024;UNIPROT2025;NCBIGENE2015;REACTOME2024</x:v>
      </x:c>
      <x:c r="G165" s="23" t="str">
        <x:v>https://www.informatics.jax.org/quicksearch/summary?queryType=exactPhrase&amp;query=Ptprf</x:v>
      </x:c>
      <x:c r="H165" s="23" t="str">
        <x:v>https://www.uniprot.org/uniprotkb?query=%28gene_exact%3APtprf%29+AND+%28organism_id%3A10090%29</x:v>
      </x:c>
      <x:c r="I165" s="23" t="str">
        <x:v>https://www.ncbi.nlm.nih.gov/gene/?term=Ptprf%5Bgene%5D%20AND%20Mus%20musculus%5Borgn%5D</x:v>
      </x:c>
      <x:c r="J165" s="23" t="str">
        <x:v>https://reactome.org/content/query?q=Ptprf&amp;species=Mus%20musculus</x:v>
      </x:c>
      <x:c r="K165" s="23" t="str">
        <x:v>https://pubmed.ncbi.nlm.nih.gov/?term=(Ptprf%5BTitle%2FAbstract%5D)%20AND%20(mouse%20OR%20murine)</x:v>
      </x:c>
    </x:row>
    <x:row r="166">
      <x:c r="A166" s="22" t="str">
        <x:v>Rac2</x:v>
      </x:c>
      <x:c r="B166" s="23" t="str">
        <x:v>RAC2</x:v>
      </x:c>
      <x:c r="C166" s="23" t="str">
        <x:v>RHO-family GTPase; chemotaxis and oxidase activation</x:v>
      </x:c>
      <x:c r="D166" s="23" t="str">
        <x:v>Hematopoietic RAC GTPase controlling actin remodeling and directly activating the phagocyte NOX2 complex.</x:v>
      </x:c>
      <x:c r="E166" s="23" t="str">
        <x:v>High</x:v>
      </x:c>
      <x:c r="F166" s="23" t="str">
        <x:v>MGI2020;ALLIANCE2024;UNIPROT2025;NCBIGENE2015;REACTOME2024</x:v>
      </x:c>
      <x:c r="G166" s="23" t="str">
        <x:v>https://www.informatics.jax.org/quicksearch/summary?queryType=exactPhrase&amp;query=Rac2</x:v>
      </x:c>
      <x:c r="H166" s="23" t="str">
        <x:v>https://www.uniprot.org/uniprotkb?query=%28gene_exact%3ARac2%29+AND+%28organism_id%3A10090%29</x:v>
      </x:c>
      <x:c r="I166" s="23" t="str">
        <x:v>https://www.ncbi.nlm.nih.gov/gene/?term=Rac2%5Bgene%5D%20AND%20Mus%20musculus%5Borgn%5D</x:v>
      </x:c>
      <x:c r="J166" s="23" t="str">
        <x:v>https://reactome.org/content/query?q=Rac2&amp;species=Mus%20musculus</x:v>
      </x:c>
      <x:c r="K166" s="23" t="str">
        <x:v>https://pubmed.ncbi.nlm.nih.gov/?term=(Rac2%5BTitle%2FAbstract%5D)%20AND%20(mouse%20OR%20murine)</x:v>
      </x:c>
    </x:row>
    <x:row r="167">
      <x:c r="A167" s="22" t="str">
        <x:v>Rasal3</x:v>
      </x:c>
      <x:c r="B167" s="23" t="str">
        <x:v>RASAL3</x:v>
      </x:c>
      <x:c r="C167" s="23" t="str">
        <x:v>RAS signal termination</x:v>
      </x:c>
      <x:c r="D167" s="23" t="str">
        <x:v>RAS GTPase-activating protein enriched in lymphocytes, limiting RAS-MAPK signaling and supporting immune-cell homeostasis.</x:v>
      </x:c>
      <x:c r="E167" s="23" t="str">
        <x:v>Moderate</x:v>
      </x:c>
      <x:c r="F167" s="23" t="str">
        <x:v>MGI2020;ALLIANCE2024;UNIPROT2025;NCBIGENE2015;REACTOME2024</x:v>
      </x:c>
      <x:c r="G167" s="23" t="str">
        <x:v>https://www.informatics.jax.org/quicksearch/summary?queryType=exactPhrase&amp;query=Rasal3</x:v>
      </x:c>
      <x:c r="H167" s="23" t="str">
        <x:v>https://www.uniprot.org/uniprotkb?query=%28gene_exact%3ARasal3%29+AND+%28organism_id%3A10090%29</x:v>
      </x:c>
      <x:c r="I167" s="23" t="str">
        <x:v>https://www.ncbi.nlm.nih.gov/gene/?term=Rasal3%5Bgene%5D%20AND%20Mus%20musculus%5Borgn%5D</x:v>
      </x:c>
      <x:c r="J167" s="23" t="str">
        <x:v>https://reactome.org/content/query?q=Rasal3&amp;species=Mus%20musculus</x:v>
      </x:c>
      <x:c r="K167" s="23" t="str">
        <x:v>https://pubmed.ncbi.nlm.nih.gov/?term=(Rasal3%5BTitle%2FAbstract%5D)%20AND%20(mouse%20OR%20murine)</x:v>
      </x:c>
    </x:row>
    <x:row r="168">
      <x:c r="A168" s="22" t="str">
        <x:v>Rcsd1</x:v>
      </x:c>
      <x:c r="B168" s="23" t="str">
        <x:v>RCSD1</x:v>
      </x:c>
      <x:c r="C168" s="23" t="str">
        <x:v>Actin cytoskeleton</x:v>
      </x:c>
      <x:c r="D168" s="23" t="str">
        <x:v>CapZ-interacting phosphoprotein (CapZIP) that modulates actin filament capping and cytoskeletal responses.</x:v>
      </x:c>
      <x:c r="E168" s="23" t="str">
        <x:v>Moderate</x:v>
      </x:c>
      <x:c r="F168" s="23" t="str">
        <x:v>MGI2020;ALLIANCE2024;UNIPROT2025;NCBIGENE2015;REACTOME2024</x:v>
      </x:c>
      <x:c r="G168" s="23" t="str">
        <x:v>https://www.informatics.jax.org/quicksearch/summary?queryType=exactPhrase&amp;query=Rcsd1</x:v>
      </x:c>
      <x:c r="H168" s="23" t="str">
        <x:v>https://www.uniprot.org/uniprotkb?query=%28gene_exact%3ARcsd1%29+AND+%28organism_id%3A10090%29</x:v>
      </x:c>
      <x:c r="I168" s="23" t="str">
        <x:v>https://www.ncbi.nlm.nih.gov/gene/?term=Rcsd1%5Bgene%5D%20AND%20Mus%20musculus%5Borgn%5D</x:v>
      </x:c>
      <x:c r="J168" s="23" t="str">
        <x:v>https://reactome.org/content/query?q=Rcsd1&amp;species=Mus%20musculus</x:v>
      </x:c>
      <x:c r="K168" s="23" t="str">
        <x:v>https://pubmed.ncbi.nlm.nih.gov/?term=(Rcsd1%5BTitle%2FAbstract%5D)%20AND%20(mouse%20OR%20murine)</x:v>
      </x:c>
    </x:row>
    <x:row r="169">
      <x:c r="A169" s="22" t="str">
        <x:v>Rest</x:v>
      </x:c>
      <x:c r="B169" s="23" t="str">
        <x:v>REST</x:v>
      </x:c>
      <x:c r="C169" s="23" t="str">
        <x:v>Transcriptional repression; neuronal identity</x:v>
      </x:c>
      <x:c r="D169" s="23" t="str">
        <x:v>RE1-silencing transcription factor recruits chromatin repressors to neuronal genes and influences differentiation, stress and survival programs.</x:v>
      </x:c>
      <x:c r="E169" s="23" t="str">
        <x:v>High</x:v>
      </x:c>
      <x:c r="F169" s="23" t="str">
        <x:v>MGI2020;ALLIANCE2024;UNIPROT2025;NCBIGENE2015;REACTOME2024</x:v>
      </x:c>
      <x:c r="G169" s="23" t="str">
        <x:v>https://www.informatics.jax.org/quicksearch/summary?queryType=exactPhrase&amp;query=Rest</x:v>
      </x:c>
      <x:c r="H169" s="23" t="str">
        <x:v>https://www.uniprot.org/uniprotkb?query=%28gene_exact%3ARest%29+AND+%28organism_id%3A10090%29</x:v>
      </x:c>
      <x:c r="I169" s="23" t="str">
        <x:v>https://www.ncbi.nlm.nih.gov/gene/?term=Rest%5Bgene%5D%20AND%20Mus%20musculus%5Borgn%5D</x:v>
      </x:c>
      <x:c r="J169" s="23" t="str">
        <x:v>https://reactome.org/content/query?q=Rest&amp;species=Mus%20musculus</x:v>
      </x:c>
      <x:c r="K169" s="23" t="str">
        <x:v>https://pubmed.ncbi.nlm.nih.gov/?term=(Rest%5BTitle%2FAbstract%5D)%20AND%20(mouse%20OR%20murine)</x:v>
      </x:c>
    </x:row>
    <x:row r="170">
      <x:c r="A170" s="22" t="str">
        <x:v>Retnlg</x:v>
      </x:c>
      <x:c r="B170" s="23" t="str">
        <x:v>RETN (family analog)</x:v>
      </x:c>
      <x:c r="C170" s="23" t="str">
        <x:v>Neutrophil secretory program; resistin-like signaling</x:v>
      </x:c>
      <x:c r="D170" s="23" t="str">
        <x:v>Mouse resistin-like gamma, enriched in granulocytes; linked to inflammatory and metabolic phenotypes, but receptor/mechanism and human translation are limited.</x:v>
      </x:c>
      <x:c r="E170" s="23" t="str">
        <x:v>Low</x:v>
      </x:c>
      <x:c r="F170" s="23" t="str">
        <x:v>MGI2020;ALLIANCE2024;UNIPROT2025;NCBIGENE2015;REACTOME2024</x:v>
      </x:c>
      <x:c r="G170" s="23" t="str">
        <x:v>https://www.informatics.jax.org/quicksearch/summary?queryType=exactPhrase&amp;query=Retnlg</x:v>
      </x:c>
      <x:c r="H170" s="23" t="str">
        <x:v>https://www.uniprot.org/uniprotkb?query=%28gene_exact%3ARetnlg%29+AND+%28organism_id%3A10090%29</x:v>
      </x:c>
      <x:c r="I170" s="23" t="str">
        <x:v>https://www.ncbi.nlm.nih.gov/gene/?term=Retnlg%5Bgene%5D%20AND%20Mus%20musculus%5Borgn%5D</x:v>
      </x:c>
      <x:c r="J170" s="23" t="str">
        <x:v>https://reactome.org/content/query?q=Retnlg&amp;species=Mus%20musculus</x:v>
      </x:c>
      <x:c r="K170" s="23" t="str">
        <x:v>https://pubmed.ncbi.nlm.nih.gov/?term=(Retnlg%5BTitle%2FAbstract%5D)%20AND%20(mouse%20OR%20murine)</x:v>
      </x:c>
    </x:row>
    <x:row r="171">
      <x:c r="A171" s="22" t="str">
        <x:v>Rgs1</x:v>
      </x:c>
      <x:c r="B171" s="23" t="str">
        <x:v>RGS1</x:v>
      </x:c>
      <x:c r="C171" s="23" t="str">
        <x:v>GPCR signal termination</x:v>
      </x:c>
      <x:c r="D171" s="23" t="str">
        <x:v>Regulator of G-protein signaling accelerating G-alpha-i GTP hydrolysis and limiting chemokine-receptor signaling.</x:v>
      </x:c>
      <x:c r="E171" s="23" t="str">
        <x:v>High</x:v>
      </x:c>
      <x:c r="F171" s="23" t="str">
        <x:v>MGI2020;ALLIANCE2024;UNIPROT2025;NCBIGENE2015;REACTOME2024</x:v>
      </x:c>
      <x:c r="G171" s="23" t="str">
        <x:v>https://www.informatics.jax.org/quicksearch/summary?queryType=exactPhrase&amp;query=Rgs1</x:v>
      </x:c>
      <x:c r="H171" s="23" t="str">
        <x:v>https://www.uniprot.org/uniprotkb?query=%28gene_exact%3ARgs1%29+AND+%28organism_id%3A10090%29</x:v>
      </x:c>
      <x:c r="I171" s="23" t="str">
        <x:v>https://www.ncbi.nlm.nih.gov/gene/?term=Rgs1%5Bgene%5D%20AND%20Mus%20musculus%5Borgn%5D</x:v>
      </x:c>
      <x:c r="J171" s="23" t="str">
        <x:v>https://reactome.org/content/query?q=Rgs1&amp;species=Mus%20musculus</x:v>
      </x:c>
      <x:c r="K171" s="23" t="str">
        <x:v>https://pubmed.ncbi.nlm.nih.gov/?term=(Rgs1%5BTitle%2FAbstract%5D)%20AND%20(mouse%20OR%20murine)</x:v>
      </x:c>
    </x:row>
    <x:row r="172">
      <x:c r="A172" s="22" t="str">
        <x:v>Rhoh</x:v>
      </x:c>
      <x:c r="B172" s="23" t="str">
        <x:v>RHOH</x:v>
      </x:c>
      <x:c r="C172" s="23" t="str">
        <x:v>Hematopoietic atypical RHO GTPase</x:v>
      </x:c>
      <x:c r="D172" s="23" t="str">
        <x:v>GTPase-deficient RHO-family regulator that organizes T-cell receptor and other hematopoietic signaling rather than acting as a conventional switch.</x:v>
      </x:c>
      <x:c r="E172" s="23" t="str">
        <x:v>High</x:v>
      </x:c>
      <x:c r="F172" s="23" t="str">
        <x:v>MGI2020;ALLIANCE2024;UNIPROT2025;NCBIGENE2015;REACTOME2024</x:v>
      </x:c>
      <x:c r="G172" s="23" t="str">
        <x:v>https://www.informatics.jax.org/quicksearch/summary?queryType=exactPhrase&amp;query=Rhoh</x:v>
      </x:c>
      <x:c r="H172" s="23" t="str">
        <x:v>https://www.uniprot.org/uniprotkb?query=%28gene_exact%3ARhoh%29+AND+%28organism_id%3A10090%29</x:v>
      </x:c>
      <x:c r="I172" s="23" t="str">
        <x:v>https://www.ncbi.nlm.nih.gov/gene/?term=Rhoh%5Bgene%5D%20AND%20Mus%20musculus%5Borgn%5D</x:v>
      </x:c>
      <x:c r="J172" s="23" t="str">
        <x:v>https://reactome.org/content/query?q=Rhoh&amp;species=Mus%20musculus</x:v>
      </x:c>
      <x:c r="K172" s="23" t="str">
        <x:v>https://pubmed.ncbi.nlm.nih.gov/?term=(Rhoh%5BTitle%2FAbstract%5D)%20AND%20(mouse%20OR%20murine)</x:v>
      </x:c>
    </x:row>
    <x:row r="173">
      <x:c r="A173" s="22" t="str">
        <x:v>Rin3</x:v>
      </x:c>
      <x:c r="B173" s="23" t="str">
        <x:v>RIN3</x:v>
      </x:c>
      <x:c r="C173" s="23" t="str">
        <x:v>RAB5 signaling; endocytosis</x:v>
      </x:c>
      <x:c r="D173" s="23" t="str">
        <x:v>RAB5-family guanine-nucleotide exchange factor/scaffold regulating endocytic trafficking and myeloid/osteoclast functions.</x:v>
      </x:c>
      <x:c r="E173" s="23" t="str">
        <x:v>Moderate</x:v>
      </x:c>
      <x:c r="F173" s="23" t="str">
        <x:v>MGI2020;ALLIANCE2024;UNIPROT2025;NCBIGENE2015;REACTOME2024</x:v>
      </x:c>
      <x:c r="G173" s="23" t="str">
        <x:v>https://www.informatics.jax.org/quicksearch/summary?queryType=exactPhrase&amp;query=Rin3</x:v>
      </x:c>
      <x:c r="H173" s="23" t="str">
        <x:v>https://www.uniprot.org/uniprotkb?query=%28gene_exact%3ARin3%29+AND+%28organism_id%3A10090%29</x:v>
      </x:c>
      <x:c r="I173" s="23" t="str">
        <x:v>https://www.ncbi.nlm.nih.gov/gene/?term=Rin3%5Bgene%5D%20AND%20Mus%20musculus%5Borgn%5D</x:v>
      </x:c>
      <x:c r="J173" s="23" t="str">
        <x:v>https://reactome.org/content/query?q=Rin3&amp;species=Mus%20musculus</x:v>
      </x:c>
      <x:c r="K173" s="23" t="str">
        <x:v>https://pubmed.ncbi.nlm.nih.gov/?term=(Rin3%5BTitle%2FAbstract%5D)%20AND%20(mouse%20OR%20murine)</x:v>
      </x:c>
    </x:row>
    <x:row r="174">
      <x:c r="A174" s="22" t="str">
        <x:v>Rps6ka1</x:v>
      </x:c>
      <x:c r="B174" s="23" t="str">
        <x:v>RPS6KA1</x:v>
      </x:c>
      <x:c r="C174" s="23" t="str">
        <x:v>ERK-RSK signaling; growth and survival</x:v>
      </x:c>
      <x:c r="D174" s="23" t="str">
        <x:v>RSK1 serine/threonine kinase downstream of ERK, phosphorylating transcriptional and survival/metabolic targets.</x:v>
      </x:c>
      <x:c r="E174" s="23" t="str">
        <x:v>High</x:v>
      </x:c>
      <x:c r="F174" s="23" t="str">
        <x:v>MGI2020;ALLIANCE2024;UNIPROT2025;NCBIGENE2015;REACTOME2024</x:v>
      </x:c>
      <x:c r="G174" s="23" t="str">
        <x:v>https://www.informatics.jax.org/quicksearch/summary?queryType=exactPhrase&amp;query=Rps6ka1</x:v>
      </x:c>
      <x:c r="H174" s="23" t="str">
        <x:v>https://www.uniprot.org/uniprotkb?query=%28gene_exact%3ARps6ka1%29+AND+%28organism_id%3A10090%29</x:v>
      </x:c>
      <x:c r="I174" s="23" t="str">
        <x:v>https://www.ncbi.nlm.nih.gov/gene/?term=Rps6ka1%5Bgene%5D%20AND%20Mus%20musculus%5Borgn%5D</x:v>
      </x:c>
      <x:c r="J174" s="23" t="str">
        <x:v>https://reactome.org/content/query?q=Rps6ka1&amp;species=Mus%20musculus</x:v>
      </x:c>
      <x:c r="K174" s="23" t="str">
        <x:v>https://pubmed.ncbi.nlm.nih.gov/?term=(Rps6ka1%5BTitle%2FAbstract%5D)%20AND%20(mouse%20OR%20murine)</x:v>
      </x:c>
    </x:row>
    <x:row r="175">
      <x:c r="A175" s="22" t="str">
        <x:v>Runx1</x:v>
      </x:c>
      <x:c r="B175" s="23" t="str">
        <x:v>RUNX1</x:v>
      </x:c>
      <x:c r="C175" s="23" t="str">
        <x:v>Hematopoietic transcription</x:v>
      </x:c>
      <x:c r="D175" s="23" t="str">
        <x:v>Master transcription factor required for definitive hematopoiesis and lineage-specific differentiation, with context-dependent leukemia roles.</x:v>
      </x:c>
      <x:c r="E175" s="23" t="str">
        <x:v>High</x:v>
      </x:c>
      <x:c r="F175" s="23" t="str">
        <x:v>MGI2020;ALLIANCE2024;UNIPROT2025;NCBIGENE2015;REACTOME2024</x:v>
      </x:c>
      <x:c r="G175" s="23" t="str">
        <x:v>https://www.informatics.jax.org/quicksearch/summary?queryType=exactPhrase&amp;query=Runx1</x:v>
      </x:c>
      <x:c r="H175" s="23" t="str">
        <x:v>https://www.uniprot.org/uniprotkb?query=%28gene_exact%3ARunx1%29+AND+%28organism_id%3A10090%29</x:v>
      </x:c>
      <x:c r="I175" s="23" t="str">
        <x:v>https://www.ncbi.nlm.nih.gov/gene/?term=Runx1%5Bgene%5D%20AND%20Mus%20musculus%5Borgn%5D</x:v>
      </x:c>
      <x:c r="J175" s="23" t="str">
        <x:v>https://reactome.org/content/query?q=Runx1&amp;species=Mus%20musculus</x:v>
      </x:c>
      <x:c r="K175" s="23" t="str">
        <x:v>https://pubmed.ncbi.nlm.nih.gov/?term=(Runx1%5BTitle%2FAbstract%5D)%20AND%20(mouse%20OR%20murine)</x:v>
      </x:c>
    </x:row>
    <x:row r="176">
      <x:c r="A176" s="22" t="str">
        <x:v>Rxfp3</x:v>
      </x:c>
      <x:c r="B176" s="23" t="str">
        <x:v>RXFP3</x:v>
      </x:c>
      <x:c r="C176" s="23" t="str">
        <x:v>Neuropeptide GPCR signaling</x:v>
      </x:c>
      <x:c r="D176" s="23" t="str">
        <x:v>Gi/o-coupled receptor for relaxin-3 involved mainly in neural arousal, stress and feeding circuits.</x:v>
      </x:c>
      <x:c r="E176" s="23" t="str">
        <x:v>High</x:v>
      </x:c>
      <x:c r="F176" s="23" t="str">
        <x:v>MGI2020;ALLIANCE2024;UNIPROT2025;NCBIGENE2015;REACTOME2024</x:v>
      </x:c>
      <x:c r="G176" s="23" t="str">
        <x:v>https://www.informatics.jax.org/quicksearch/summary?queryType=exactPhrase&amp;query=Rxfp3</x:v>
      </x:c>
      <x:c r="H176" s="23" t="str">
        <x:v>https://www.uniprot.org/uniprotkb?query=%28gene_exact%3ARxfp3%29+AND+%28organism_id%3A10090%29</x:v>
      </x:c>
      <x:c r="I176" s="23" t="str">
        <x:v>https://www.ncbi.nlm.nih.gov/gene/?term=Rxfp3%5Bgene%5D%20AND%20Mus%20musculus%5Borgn%5D</x:v>
      </x:c>
      <x:c r="J176" s="23" t="str">
        <x:v>https://reactome.org/content/query?q=Rxfp3&amp;species=Mus%20musculus</x:v>
      </x:c>
      <x:c r="K176" s="23" t="str">
        <x:v>https://pubmed.ncbi.nlm.nih.gov/?term=(Rxfp3%5BTitle%2FAbstract%5D)%20AND%20(mouse%20OR%20murine)</x:v>
      </x:c>
    </x:row>
    <x:row r="177">
      <x:c r="A177" s="22" t="str">
        <x:v>S100a8</x:v>
      </x:c>
      <x:c r="B177" s="23" t="str">
        <x:v>S100A8</x:v>
      </x:c>
      <x:c r="C177" s="23" t="str">
        <x:v>Calcium-binding DAMP; myeloid inflammation</x:v>
      </x:c>
      <x:c r="D177" s="23" t="str">
        <x:v>S100A8 forms calprotectin with S100A9, binds metal ions and activates inflammatory receptors; abundant in neutrophils/monocytes.</x:v>
      </x:c>
      <x:c r="E177" s="23" t="str">
        <x:v>High</x:v>
      </x:c>
      <x:c r="F177" s="23" t="str">
        <x:v>MGI2020;ALLIANCE2024;UNIPROT2025;NCBIGENE2015;REACTOME2024</x:v>
      </x:c>
      <x:c r="G177" s="23" t="str">
        <x:v>https://www.informatics.jax.org/quicksearch/summary?queryType=exactPhrase&amp;query=S100a8</x:v>
      </x:c>
      <x:c r="H177" s="23" t="str">
        <x:v>https://www.uniprot.org/uniprotkb?query=%28gene_exact%3AS100a8%29+AND+%28organism_id%3A10090%29</x:v>
      </x:c>
      <x:c r="I177" s="23" t="str">
        <x:v>https://www.ncbi.nlm.nih.gov/gene/?term=S100a8%5Bgene%5D%20AND%20Mus%20musculus%5Borgn%5D</x:v>
      </x:c>
      <x:c r="J177" s="23" t="str">
        <x:v>https://reactome.org/content/query?q=S100a8&amp;species=Mus%20musculus</x:v>
      </x:c>
      <x:c r="K177" s="23" t="str">
        <x:v>https://pubmed.ncbi.nlm.nih.gov/?term=(S100a8%5BTitle%2FAbstract%5D)%20AND%20(mouse%20OR%20murine)</x:v>
      </x:c>
    </x:row>
    <x:row r="178">
      <x:c r="A178" s="22" t="str">
        <x:v>S100a9</x:v>
      </x:c>
      <x:c r="B178" s="23" t="str">
        <x:v>S100A9</x:v>
      </x:c>
      <x:c r="C178" s="23" t="str">
        <x:v>Calcium-binding DAMP; calprotectin and metal sequestration</x:v>
      </x:c>
      <x:c r="D178" s="23" t="str">
        <x:v>S100A9 forms calprotectin with S100A8, sequesters transition metals and drives context-dependent TLR4/RAGE inflammatory signaling.</x:v>
      </x:c>
      <x:c r="E178" s="23" t="str">
        <x:v>High</x:v>
      </x:c>
      <x:c r="F178" s="23" t="str">
        <x:v>MGI2020;ALLIANCE2024;UNIPROT2025;NCBIGENE2015;REACTOME2024</x:v>
      </x:c>
      <x:c r="G178" s="23" t="str">
        <x:v>https://www.informatics.jax.org/quicksearch/summary?queryType=exactPhrase&amp;query=S100a9</x:v>
      </x:c>
      <x:c r="H178" s="23" t="str">
        <x:v>https://www.uniprot.org/uniprotkb?query=%28gene_exact%3AS100a9%29+AND+%28organism_id%3A10090%29</x:v>
      </x:c>
      <x:c r="I178" s="23" t="str">
        <x:v>https://www.ncbi.nlm.nih.gov/gene/?term=S100a9%5Bgene%5D%20AND%20Mus%20musculus%5Borgn%5D</x:v>
      </x:c>
      <x:c r="J178" s="23" t="str">
        <x:v>https://reactome.org/content/query?q=S100a9&amp;species=Mus%20musculus</x:v>
      </x:c>
      <x:c r="K178" s="23" t="str">
        <x:v>https://pubmed.ncbi.nlm.nih.gov/?term=(S100a9%5BTitle%2FAbstract%5D)%20AND%20(mouse%20OR%20murine)</x:v>
      </x:c>
    </x:row>
    <x:row r="179">
      <x:c r="A179" s="22" t="str">
        <x:v>Selplg</x:v>
      </x:c>
      <x:c r="B179" s="23" t="str">
        <x:v>SELPLG</x:v>
      </x:c>
      <x:c r="C179" s="23" t="str">
        <x:v>Selectin adhesion; leukocyte rolling</x:v>
      </x:c>
      <x:c r="D179" s="23" t="str">
        <x:v>PSGL-1 is a glycosylated ligand for P-, E- and L-selectins, enabling leukocyte tethering/rolling and signaling.</x:v>
      </x:c>
      <x:c r="E179" s="23" t="str">
        <x:v>High</x:v>
      </x:c>
      <x:c r="F179" s="23" t="str">
        <x:v>MGI2020;ALLIANCE2024;UNIPROT2025;NCBIGENE2015;REACTOME2024</x:v>
      </x:c>
      <x:c r="G179" s="23" t="str">
        <x:v>https://www.informatics.jax.org/quicksearch/summary?queryType=exactPhrase&amp;query=Selplg</x:v>
      </x:c>
      <x:c r="H179" s="23" t="str">
        <x:v>https://www.uniprot.org/uniprotkb?query=%28gene_exact%3ASelplg%29+AND+%28organism_id%3A10090%29</x:v>
      </x:c>
      <x:c r="I179" s="23" t="str">
        <x:v>https://www.ncbi.nlm.nih.gov/gene/?term=Selplg%5Bgene%5D%20AND%20Mus%20musculus%5Borgn%5D</x:v>
      </x:c>
      <x:c r="J179" s="23" t="str">
        <x:v>https://reactome.org/content/query?q=Selplg&amp;species=Mus%20musculus</x:v>
      </x:c>
      <x:c r="K179" s="23" t="str">
        <x:v>https://pubmed.ncbi.nlm.nih.gov/?term=(Selplg%5BTitle%2FAbstract%5D)%20AND%20(mouse%20OR%20murine)</x:v>
      </x:c>
    </x:row>
    <x:row r="180">
      <x:c r="A180" s="22" t="str">
        <x:v>Serpine2</x:v>
      </x:c>
      <x:c r="B180" s="23" t="str">
        <x:v>SERPINE2</x:v>
      </x:c>
      <x:c r="C180" s="23" t="str">
        <x:v>Extracellular serine-protease inhibition</x:v>
      </x:c>
      <x:c r="D180" s="23" t="str">
        <x:v>Nexin-1 serpin inhibits thrombin, plasmin and selected proteases, regulating coagulation, fibrinolysis and matrix remodeling.</x:v>
      </x:c>
      <x:c r="E180" s="23" t="str">
        <x:v>High</x:v>
      </x:c>
      <x:c r="F180" s="23" t="str">
        <x:v>MGI2020;ALLIANCE2024;UNIPROT2025;NCBIGENE2015;REACTOME2024</x:v>
      </x:c>
      <x:c r="G180" s="23" t="str">
        <x:v>https://www.informatics.jax.org/quicksearch/summary?queryType=exactPhrase&amp;query=Serpine2</x:v>
      </x:c>
      <x:c r="H180" s="23" t="str">
        <x:v>https://www.uniprot.org/uniprotkb?query=%28gene_exact%3ASerpine2%29+AND+%28organism_id%3A10090%29</x:v>
      </x:c>
      <x:c r="I180" s="23" t="str">
        <x:v>https://www.ncbi.nlm.nih.gov/gene/?term=Serpine2%5Bgene%5D%20AND%20Mus%20musculus%5Borgn%5D</x:v>
      </x:c>
      <x:c r="J180" s="23" t="str">
        <x:v>https://reactome.org/content/query?q=Serpine2&amp;species=Mus%20musculus</x:v>
      </x:c>
      <x:c r="K180" s="23" t="str">
        <x:v>https://pubmed.ncbi.nlm.nih.gov/?term=(Serpine2%5BTitle%2FAbstract%5D)%20AND%20(mouse%20OR%20murine)</x:v>
      </x:c>
    </x:row>
    <x:row r="181">
      <x:c r="A181" s="22" t="str">
        <x:v>Siglec1</x:v>
      </x:c>
      <x:c r="B181" s="23" t="str">
        <x:v>SIGLEC1</x:v>
      </x:c>
      <x:c r="C181" s="23" t="str">
        <x:v>Sialic-acid recognition; macrophage adhesion</x:v>
      </x:c>
      <x:c r="D181" s="23" t="str">
        <x:v>Sialoadhesin/CD169 is a macrophage lectin that binds sialylated ligands, captures particles/viruses and organizes immune interactions.</x:v>
      </x:c>
      <x:c r="E181" s="23" t="str">
        <x:v>High</x:v>
      </x:c>
      <x:c r="F181" s="23" t="str">
        <x:v>MGI2020;ALLIANCE2024;UNIPROT2025;NCBIGENE2015;REACTOME2024</x:v>
      </x:c>
      <x:c r="G181" s="23" t="str">
        <x:v>https://www.informatics.jax.org/quicksearch/summary?queryType=exactPhrase&amp;query=Siglec1</x:v>
      </x:c>
      <x:c r="H181" s="23" t="str">
        <x:v>https://www.uniprot.org/uniprotkb?query=%28gene_exact%3ASiglec1%29+AND+%28organism_id%3A10090%29</x:v>
      </x:c>
      <x:c r="I181" s="23" t="str">
        <x:v>https://www.ncbi.nlm.nih.gov/gene/?term=Siglec1%5Bgene%5D%20AND%20Mus%20musculus%5Borgn%5D</x:v>
      </x:c>
      <x:c r="J181" s="23" t="str">
        <x:v>https://reactome.org/content/query?q=Siglec1&amp;species=Mus%20musculus</x:v>
      </x:c>
      <x:c r="K181" s="23" t="str">
        <x:v>https://pubmed.ncbi.nlm.nih.gov/?term=(Siglec1%5BTitle%2FAbstract%5D)%20AND%20(mouse%20OR%20murine)</x:v>
      </x:c>
    </x:row>
    <x:row r="182">
      <x:c r="A182" s="22" t="str">
        <x:v>Sla</x:v>
      </x:c>
      <x:c r="B182" s="23" t="str">
        <x:v>SLA</x:v>
      </x:c>
      <x:c r="C182" s="23" t="str">
        <x:v>Immune-receptor signal attenuation</x:v>
      </x:c>
      <x:c r="D182" s="23" t="str">
        <x:v>Src-like adaptor lacking catalytic activity; restrains antigen/Fc-receptor signaling and receptor trafficking in hematopoietic cells.</x:v>
      </x:c>
      <x:c r="E182" s="23" t="str">
        <x:v>Moderate</x:v>
      </x:c>
      <x:c r="F182" s="23" t="str">
        <x:v>MGI2020;ALLIANCE2024;UNIPROT2025;NCBIGENE2015;REACTOME2024</x:v>
      </x:c>
      <x:c r="G182" s="23" t="str">
        <x:v>https://www.informatics.jax.org/quicksearch/summary?queryType=exactPhrase&amp;query=Sla</x:v>
      </x:c>
      <x:c r="H182" s="23" t="str">
        <x:v>https://www.uniprot.org/uniprotkb?query=%28gene_exact%3ASla%29+AND+%28organism_id%3A10090%29</x:v>
      </x:c>
      <x:c r="I182" s="23" t="str">
        <x:v>https://www.ncbi.nlm.nih.gov/gene/?term=Sla%5Bgene%5D%20AND%20Mus%20musculus%5Borgn%5D</x:v>
      </x:c>
      <x:c r="J182" s="23" t="str">
        <x:v>https://reactome.org/content/query?q=Sla&amp;species=Mus%20musculus</x:v>
      </x:c>
      <x:c r="K182" s="23" t="str">
        <x:v>https://pubmed.ncbi.nlm.nih.gov/?term=(Sla%5BTitle%2FAbstract%5D)%20AND%20(mouse%20OR%20murine)</x:v>
      </x:c>
    </x:row>
    <x:row r="183">
      <x:c r="A183" s="22" t="str">
        <x:v>Slc15a3</x:v>
      </x:c>
      <x:c r="B183" s="23" t="str">
        <x:v>SLC15A3</x:v>
      </x:c>
      <x:c r="C183" s="23" t="str">
        <x:v>Endolysosomal peptide/histidine transport</x:v>
      </x:c>
      <x:c r="D183" s="23" t="str">
        <x:v>Proton-coupled endolysosomal transporter for histidine and selected di/tripeptides, influencing lysosome homeostasis and innate signaling.</x:v>
      </x:c>
      <x:c r="E183" s="23" t="str">
        <x:v>High</x:v>
      </x:c>
      <x:c r="F183" s="23" t="str">
        <x:v>MGI2020;ALLIANCE2024;UNIPROT2025;NCBIGENE2015;REACTOME2024</x:v>
      </x:c>
      <x:c r="G183" s="23" t="str">
        <x:v>https://www.informatics.jax.org/quicksearch/summary?queryType=exactPhrase&amp;query=Slc15a3</x:v>
      </x:c>
      <x:c r="H183" s="23" t="str">
        <x:v>https://www.uniprot.org/uniprotkb?query=%28gene_exact%3ASlc15a3%29+AND+%28organism_id%3A10090%29</x:v>
      </x:c>
      <x:c r="I183" s="23" t="str">
        <x:v>https://www.ncbi.nlm.nih.gov/gene/?term=Slc15a3%5Bgene%5D%20AND%20Mus%20musculus%5Borgn%5D</x:v>
      </x:c>
      <x:c r="J183" s="23" t="str">
        <x:v>https://reactome.org/content/query?q=Slc15a3&amp;species=Mus%20musculus</x:v>
      </x:c>
      <x:c r="K183" s="23" t="str">
        <x:v>https://pubmed.ncbi.nlm.nih.gov/?term=(Slc15a3%5BTitle%2FAbstract%5D)%20AND%20(mouse%20OR%20murine)</x:v>
      </x:c>
    </x:row>
    <x:row r="184">
      <x:c r="A184" s="22" t="str">
        <x:v>Slco2b1</x:v>
      </x:c>
      <x:c r="B184" s="23" t="str">
        <x:v>SLCO2B1</x:v>
      </x:c>
      <x:c r="C184" s="23" t="str">
        <x:v>Organic-anion and lipid-mediator transport</x:v>
      </x:c>
      <x:c r="D184" s="23" t="str">
        <x:v>Uptake transporter for diverse organic anions, including steroid conjugates and some prostaglandins/drugs; substrate relevance is tissue dependent.</x:v>
      </x:c>
      <x:c r="E184" s="23" t="str">
        <x:v>High</x:v>
      </x:c>
      <x:c r="F184" s="23" t="str">
        <x:v>MGI2020;ALLIANCE2024;UNIPROT2025;NCBIGENE2015;REACTOME2024</x:v>
      </x:c>
      <x:c r="G184" s="23" t="str">
        <x:v>https://www.informatics.jax.org/quicksearch/summary?queryType=exactPhrase&amp;query=Slco2b1</x:v>
      </x:c>
      <x:c r="H184" s="23" t="str">
        <x:v>https://www.uniprot.org/uniprotkb?query=%28gene_exact%3ASlco2b1%29+AND+%28organism_id%3A10090%29</x:v>
      </x:c>
      <x:c r="I184" s="23" t="str">
        <x:v>https://www.ncbi.nlm.nih.gov/gene/?term=Slco2b1%5Bgene%5D%20AND%20Mus%20musculus%5Borgn%5D</x:v>
      </x:c>
      <x:c r="J184" s="23" t="str">
        <x:v>https://reactome.org/content/query?q=Slco2b1&amp;species=Mus%20musculus</x:v>
      </x:c>
      <x:c r="K184" s="23" t="str">
        <x:v>https://pubmed.ncbi.nlm.nih.gov/?term=(Slco2b1%5BTitle%2FAbstract%5D)%20AND%20(mouse%20OR%20murine)</x:v>
      </x:c>
    </x:row>
    <x:row r="185">
      <x:c r="A185" s="22" t="str">
        <x:v>Slfn4</x:v>
      </x:c>
      <x:c r="B185" s="23" t="str">
        <x:v>SLFN12/SLFN12L (family analogs)</x:v>
      </x:c>
      <x:c r="C185" s="23" t="str">
        <x:v>Myeloid differentiation; schlafen-family regulation</x:v>
      </x:c>
      <x:c r="D185" s="23" t="str">
        <x:v>Mouse schlafen-family protein induced in inflammatory myeloid states; roles in differentiation and translation/growth control are incompletely resolved.</x:v>
      </x:c>
      <x:c r="E185" s="23" t="str">
        <x:v>Low</x:v>
      </x:c>
      <x:c r="F185" s="23" t="str">
        <x:v>MGI2020;ALLIANCE2024;UNIPROT2025;NCBIGENE2015;REACTOME2024</x:v>
      </x:c>
      <x:c r="G185" s="23" t="str">
        <x:v>https://www.informatics.jax.org/quicksearch/summary?queryType=exactPhrase&amp;query=Slfn4</x:v>
      </x:c>
      <x:c r="H185" s="23" t="str">
        <x:v>https://www.uniprot.org/uniprotkb?query=%28gene_exact%3ASlfn4%29+AND+%28organism_id%3A10090%29</x:v>
      </x:c>
      <x:c r="I185" s="23" t="str">
        <x:v>https://www.ncbi.nlm.nih.gov/gene/?term=Slfn4%5Bgene%5D%20AND%20Mus%20musculus%5Borgn%5D</x:v>
      </x:c>
      <x:c r="J185" s="23" t="str">
        <x:v>https://reactome.org/content/query?q=Slfn4&amp;species=Mus%20musculus</x:v>
      </x:c>
      <x:c r="K185" s="23" t="str">
        <x:v>https://pubmed.ncbi.nlm.nih.gov/?term=(Slfn4%5BTitle%2FAbstract%5D)%20AND%20(mouse%20OR%20murine)</x:v>
      </x:c>
    </x:row>
    <x:row r="186">
      <x:c r="A186" s="22" t="str">
        <x:v>Slfn5</x:v>
      </x:c>
      <x:c r="B186" s="23" t="str">
        <x:v>SLFN5</x:v>
      </x:c>
      <x:c r="C186" s="23" t="str">
        <x:v>Interferon-induced restriction and transcriptional control</x:v>
      </x:c>
      <x:c r="D186" s="23" t="str">
        <x:v>Schlafen-family protein affecting cell proliferation, differentiation and antiviral/transcriptional programs in a context-dependent manner.</x:v>
      </x:c>
      <x:c r="E186" s="23" t="str">
        <x:v>Moderate</x:v>
      </x:c>
      <x:c r="F186" s="23" t="str">
        <x:v>MGI2020;ALLIANCE2024;UNIPROT2025;NCBIGENE2015;REACTOME2024</x:v>
      </x:c>
      <x:c r="G186" s="23" t="str">
        <x:v>https://www.informatics.jax.org/quicksearch/summary?queryType=exactPhrase&amp;query=Slfn5</x:v>
      </x:c>
      <x:c r="H186" s="23" t="str">
        <x:v>https://www.uniprot.org/uniprotkb?query=%28gene_exact%3ASlfn5%29+AND+%28organism_id%3A10090%29</x:v>
      </x:c>
      <x:c r="I186" s="23" t="str">
        <x:v>https://www.ncbi.nlm.nih.gov/gene/?term=Slfn5%5Bgene%5D%20AND%20Mus%20musculus%5Borgn%5D</x:v>
      </x:c>
      <x:c r="J186" s="23" t="str">
        <x:v>https://reactome.org/content/query?q=Slfn5&amp;species=Mus%20musculus</x:v>
      </x:c>
      <x:c r="K186" s="23" t="str">
        <x:v>https://pubmed.ncbi.nlm.nih.gov/?term=(Slfn5%5BTitle%2FAbstract%5D)%20AND%20(mouse%20OR%20murine)</x:v>
      </x:c>
    </x:row>
    <x:row r="187">
      <x:c r="A187" s="22" t="str">
        <x:v>Smim3</x:v>
      </x:c>
      <x:c r="B187" s="23" t="str">
        <x:v>SMIM3</x:v>
      </x:c>
      <x:c r="C187" s="23" t="str">
        <x:v>Small membrane protein; poorly characterized</x:v>
      </x:c>
      <x:c r="D187" s="23" t="str">
        <x:v>Small integral membrane protein with limited experimentally defined molecular function.</x:v>
      </x:c>
      <x:c r="E187" s="23" t="str">
        <x:v>Low</x:v>
      </x:c>
      <x:c r="F187" s="23" t="str">
        <x:v>MGI2020;ALLIANCE2024;UNIPROT2025;NCBIGENE2015;REACTOME2024</x:v>
      </x:c>
      <x:c r="G187" s="23" t="str">
        <x:v>https://www.informatics.jax.org/quicksearch/summary?queryType=exactPhrase&amp;query=Smim3</x:v>
      </x:c>
      <x:c r="H187" s="23" t="str">
        <x:v>https://www.uniprot.org/uniprotkb?query=%28gene_exact%3ASmim3%29+AND+%28organism_id%3A10090%29</x:v>
      </x:c>
      <x:c r="I187" s="23" t="str">
        <x:v>https://www.ncbi.nlm.nih.gov/gene/?term=Smim3%5Bgene%5D%20AND%20Mus%20musculus%5Borgn%5D</x:v>
      </x:c>
      <x:c r="J187" s="23" t="str">
        <x:v>https://reactome.org/content/query?q=Smim3&amp;species=Mus%20musculus</x:v>
      </x:c>
      <x:c r="K187" s="23" t="str">
        <x:v>https://pubmed.ncbi.nlm.nih.gov/?term=(Smim3%5BTitle%2FAbstract%5D)%20AND%20(mouse%20OR%20murine)</x:v>
      </x:c>
    </x:row>
    <x:row r="188">
      <x:c r="A188" s="22" t="str">
        <x:v>Snrpd3</x:v>
      </x:c>
      <x:c r="B188" s="23" t="str">
        <x:v>SNRPD3</x:v>
      </x:c>
      <x:c r="C188" s="23" t="str">
        <x:v>Pre-mRNA splicing</x:v>
      </x:c>
      <x:c r="D188" s="23" t="str">
        <x:v>Core Sm-D3 component of spliceosomal snRNPs required for snRNP assembly and pre-mRNA splicing.</x:v>
      </x:c>
      <x:c r="E188" s="23" t="str">
        <x:v>High</x:v>
      </x:c>
      <x:c r="F188" s="23" t="str">
        <x:v>MGI2020;ALLIANCE2024;UNIPROT2025;NCBIGENE2015;REACTOME2024</x:v>
      </x:c>
      <x:c r="G188" s="23" t="str">
        <x:v>https://www.informatics.jax.org/quicksearch/summary?queryType=exactPhrase&amp;query=Snrpd3</x:v>
      </x:c>
      <x:c r="H188" s="23" t="str">
        <x:v>https://www.uniprot.org/uniprotkb?query=%28gene_exact%3ASnrpd3%29+AND+%28organism_id%3A10090%29</x:v>
      </x:c>
      <x:c r="I188" s="23" t="str">
        <x:v>https://www.ncbi.nlm.nih.gov/gene/?term=Snrpd3%5Bgene%5D%20AND%20Mus%20musculus%5Borgn%5D</x:v>
      </x:c>
      <x:c r="J188" s="23" t="str">
        <x:v>https://reactome.org/content/query?q=Snrpd3&amp;species=Mus%20musculus</x:v>
      </x:c>
      <x:c r="K188" s="23" t="str">
        <x:v>https://pubmed.ncbi.nlm.nih.gov/?term=(Snrpd3%5BTitle%2FAbstract%5D)%20AND%20(mouse%20OR%20murine)</x:v>
      </x:c>
    </x:row>
    <x:row r="189">
      <x:c r="A189" s="22" t="str">
        <x:v>Socs3</x:v>
      </x:c>
      <x:c r="B189" s="23" t="str">
        <x:v>SOCS3</x:v>
      </x:c>
      <x:c r="C189" s="23" t="str">
        <x:v>Cytokine signal feedback inhibition</x:v>
      </x:c>
      <x:c r="D189" s="23" t="str">
        <x:v>Inducible SOCS protein that binds JAKs/receptors and recruits ubiquitin machinery to restrain IL-6-family, leptin and other cytokine signaling.</x:v>
      </x:c>
      <x:c r="E189" s="23" t="str">
        <x:v>High</x:v>
      </x:c>
      <x:c r="F189" s="23" t="str">
        <x:v>MGI2020;ALLIANCE2024;UNIPROT2025;NCBIGENE2015;REACTOME2024</x:v>
      </x:c>
      <x:c r="G189" s="23" t="str">
        <x:v>https://www.informatics.jax.org/quicksearch/summary?queryType=exactPhrase&amp;query=Socs3</x:v>
      </x:c>
      <x:c r="H189" s="23" t="str">
        <x:v>https://www.uniprot.org/uniprotkb?query=%28gene_exact%3ASocs3%29+AND+%28organism_id%3A10090%29</x:v>
      </x:c>
      <x:c r="I189" s="23" t="str">
        <x:v>https://www.ncbi.nlm.nih.gov/gene/?term=Socs3%5Bgene%5D%20AND%20Mus%20musculus%5Borgn%5D</x:v>
      </x:c>
      <x:c r="J189" s="23" t="str">
        <x:v>https://reactome.org/content/query?q=Socs3&amp;species=Mus%20musculus</x:v>
      </x:c>
      <x:c r="K189" s="23" t="str">
        <x:v>https://pubmed.ncbi.nlm.nih.gov/?term=(Socs3%5BTitle%2FAbstract%5D)%20AND%20(mouse%20OR%20murine)</x:v>
      </x:c>
    </x:row>
    <x:row r="190">
      <x:c r="A190" s="22" t="str">
        <x:v>Sparcl1</x:v>
      </x:c>
      <x:c r="B190" s="23" t="str">
        <x:v>SPARCL1</x:v>
      </x:c>
      <x:c r="C190" s="23" t="str">
        <x:v>Extracellular matrix; vascular quiescence</x:v>
      </x:c>
      <x:c r="D190" s="23" t="str">
        <x:v>Secreted matricellular glycoprotein regulating adhesion, endothelial behavior and tissue remodeling.</x:v>
      </x:c>
      <x:c r="E190" s="23" t="str">
        <x:v>Moderate</x:v>
      </x:c>
      <x:c r="F190" s="23" t="str">
        <x:v>MGI2020;ALLIANCE2024;UNIPROT2025;NCBIGENE2015;REACTOME2024</x:v>
      </x:c>
      <x:c r="G190" s="23" t="str">
        <x:v>https://www.informatics.jax.org/quicksearch/summary?queryType=exactPhrase&amp;query=Sparcl1</x:v>
      </x:c>
      <x:c r="H190" s="23" t="str">
        <x:v>https://www.uniprot.org/uniprotkb?query=%28gene_exact%3ASparcl1%29+AND+%28organism_id%3A10090%29</x:v>
      </x:c>
      <x:c r="I190" s="23" t="str">
        <x:v>https://www.ncbi.nlm.nih.gov/gene/?term=Sparcl1%5Bgene%5D%20AND%20Mus%20musculus%5Borgn%5D</x:v>
      </x:c>
      <x:c r="J190" s="23" t="str">
        <x:v>https://reactome.org/content/query?q=Sparcl1&amp;species=Mus%20musculus</x:v>
      </x:c>
      <x:c r="K190" s="23" t="str">
        <x:v>https://pubmed.ncbi.nlm.nih.gov/?term=(Sparcl1%5BTitle%2FAbstract%5D)%20AND%20(mouse%20OR%20murine)</x:v>
      </x:c>
    </x:row>
    <x:row r="191">
      <x:c r="A191" s="22" t="str">
        <x:v>Spi1</x:v>
      </x:c>
      <x:c r="B191" s="23" t="str">
        <x:v>SPI1</x:v>
      </x:c>
      <x:c r="C191" s="23" t="str">
        <x:v>Myeloid/B-cell transcription</x:v>
      </x:c>
      <x:c r="D191" s="23" t="str">
        <x:v>PU.1 ETS-family lineage-determining transcription factor required for myeloid and B-cell enhancer programs.</x:v>
      </x:c>
      <x:c r="E191" s="23" t="str">
        <x:v>High</x:v>
      </x:c>
      <x:c r="F191" s="23" t="str">
        <x:v>MGI2020;ALLIANCE2024;UNIPROT2025;NCBIGENE2015;REACTOME2024</x:v>
      </x:c>
      <x:c r="G191" s="23" t="str">
        <x:v>https://www.informatics.jax.org/quicksearch/summary?queryType=exactPhrase&amp;query=Spi1</x:v>
      </x:c>
      <x:c r="H191" s="23" t="str">
        <x:v>https://www.uniprot.org/uniprotkb?query=%28gene_exact%3ASpi1%29+AND+%28organism_id%3A10090%29</x:v>
      </x:c>
      <x:c r="I191" s="23" t="str">
        <x:v>https://www.ncbi.nlm.nih.gov/gene/?term=Spi1%5Bgene%5D%20AND%20Mus%20musculus%5Borgn%5D</x:v>
      </x:c>
      <x:c r="J191" s="23" t="str">
        <x:v>https://reactome.org/content/query?q=Spi1&amp;species=Mus%20musculus</x:v>
      </x:c>
      <x:c r="K191" s="23" t="str">
        <x:v>https://pubmed.ncbi.nlm.nih.gov/?term=(Spi1%5BTitle%2FAbstract%5D)%20AND%20(mouse%20OR%20murine)</x:v>
      </x:c>
    </x:row>
    <x:row r="192">
      <x:c r="A192" s="22" t="str">
        <x:v>Spint1</x:v>
      </x:c>
      <x:c r="B192" s="23" t="str">
        <x:v>SPINT1</x:v>
      </x:c>
      <x:c r="C192" s="23" t="str">
        <x:v>Cell-surface serine-protease inhibition</x:v>
      </x:c>
      <x:c r="D192" s="23" t="str">
        <x:v>Kunitz-type inhibitor HAI-1 restraining matriptase and related proteases, thereby controlling epithelial integrity and pericellular proteolysis.</x:v>
      </x:c>
      <x:c r="E192" s="23" t="str">
        <x:v>High</x:v>
      </x:c>
      <x:c r="F192" s="23" t="str">
        <x:v>MGI2020;ALLIANCE2024;UNIPROT2025;NCBIGENE2015;REACTOME2024</x:v>
      </x:c>
      <x:c r="G192" s="23" t="str">
        <x:v>https://www.informatics.jax.org/quicksearch/summary?queryType=exactPhrase&amp;query=Spint1</x:v>
      </x:c>
      <x:c r="H192" s="23" t="str">
        <x:v>https://www.uniprot.org/uniprotkb?query=%28gene_exact%3ASpint1%29+AND+%28organism_id%3A10090%29</x:v>
      </x:c>
      <x:c r="I192" s="23" t="str">
        <x:v>https://www.ncbi.nlm.nih.gov/gene/?term=Spint1%5Bgene%5D%20AND%20Mus%20musculus%5Borgn%5D</x:v>
      </x:c>
      <x:c r="J192" s="23" t="str">
        <x:v>https://reactome.org/content/query?q=Spint1&amp;species=Mus%20musculus</x:v>
      </x:c>
      <x:c r="K192" s="23" t="str">
        <x:v>https://pubmed.ncbi.nlm.nih.gov/?term=(Spint1%5BTitle%2FAbstract%5D)%20AND%20(mouse%20OR%20murine)</x:v>
      </x:c>
    </x:row>
    <x:row r="193">
      <x:c r="A193" s="22" t="str">
        <x:v>Srgn</x:v>
      </x:c>
      <x:c r="B193" s="23" t="str">
        <x:v>SRGN</x:v>
      </x:c>
      <x:c r="C193" s="23" t="str">
        <x:v>Proteoglycan storage and secretion</x:v>
      </x:c>
      <x:c r="D193" s="23" t="str">
        <x:v>Serglycin proteoglycan organizes proteases, cytokines and granule contents in hematopoietic secretory compartments.</x:v>
      </x:c>
      <x:c r="E193" s="23" t="str">
        <x:v>High</x:v>
      </x:c>
      <x:c r="F193" s="23" t="str">
        <x:v>MGI2020;ALLIANCE2024;UNIPROT2025;NCBIGENE2015;REACTOME2024</x:v>
      </x:c>
      <x:c r="G193" s="23" t="str">
        <x:v>https://www.informatics.jax.org/quicksearch/summary?queryType=exactPhrase&amp;query=Srgn</x:v>
      </x:c>
      <x:c r="H193" s="23" t="str">
        <x:v>https://www.uniprot.org/uniprotkb?query=%28gene_exact%3ASrgn%29+AND+%28organism_id%3A10090%29</x:v>
      </x:c>
      <x:c r="I193" s="23" t="str">
        <x:v>https://www.ncbi.nlm.nih.gov/gene/?term=Srgn%5Bgene%5D%20AND%20Mus%20musculus%5Borgn%5D</x:v>
      </x:c>
      <x:c r="J193" s="23" t="str">
        <x:v>https://reactome.org/content/query?q=Srgn&amp;species=Mus%20musculus</x:v>
      </x:c>
      <x:c r="K193" s="23" t="str">
        <x:v>https://pubmed.ncbi.nlm.nih.gov/?term=(Srgn%5BTitle%2FAbstract%5D)%20AND%20(mouse%20OR%20murine)</x:v>
      </x:c>
    </x:row>
    <x:row r="194">
      <x:c r="A194" s="22" t="str">
        <x:v>Stat1</x:v>
      </x:c>
      <x:c r="B194" s="23" t="str">
        <x:v>STAT1</x:v>
      </x:c>
      <x:c r="C194" s="23" t="str">
        <x:v>Interferon transcription; antimicrobial and death programs</x:v>
      </x:c>
      <x:c r="D194" s="23" t="str">
        <x:v>Signal transducer activated by type-I/II interferons and other cytokines, inducing antiviral, antigen-presentation, growth-arrest and context-dependent death genes.</x:v>
      </x:c>
      <x:c r="E194" s="23" t="str">
        <x:v>High</x:v>
      </x:c>
      <x:c r="F194" s="23" t="str">
        <x:v>MGI2020;ALLIANCE2024;UNIPROT2025;NCBIGENE2015;REACTOME2024</x:v>
      </x:c>
      <x:c r="G194" s="23" t="str">
        <x:v>https://www.informatics.jax.org/quicksearch/summary?queryType=exactPhrase&amp;query=Stat1</x:v>
      </x:c>
      <x:c r="H194" s="23" t="str">
        <x:v>https://www.uniprot.org/uniprotkb?query=%28gene_exact%3AStat1%29+AND+%28organism_id%3A10090%29</x:v>
      </x:c>
      <x:c r="I194" s="23" t="str">
        <x:v>https://www.ncbi.nlm.nih.gov/gene/?term=Stat1%5Bgene%5D%20AND%20Mus%20musculus%5Borgn%5D</x:v>
      </x:c>
      <x:c r="J194" s="23" t="str">
        <x:v>https://reactome.org/content/query?q=Stat1&amp;species=Mus%20musculus</x:v>
      </x:c>
      <x:c r="K194" s="23" t="str">
        <x:v>https://pubmed.ncbi.nlm.nih.gov/?term=(Stat1%5BTitle%2FAbstract%5D)%20AND%20(mouse%20OR%20murine)</x:v>
      </x:c>
    </x:row>
    <x:row r="195">
      <x:c r="A195" s="22" t="str">
        <x:v>Syngr2</x:v>
      </x:c>
      <x:c r="B195" s="23" t="str">
        <x:v>SYNGR2</x:v>
      </x:c>
      <x:c r="C195" s="23" t="str">
        <x:v>Vesicle membrane trafficking</x:v>
      </x:c>
      <x:c r="D195" s="23" t="str">
        <x:v>Synaptogyrin-family vesicle membrane protein expressed beyond neurons; implicated in secretory/endosomal vesicle organization.</x:v>
      </x:c>
      <x:c r="E195" s="23" t="str">
        <x:v>Low</x:v>
      </x:c>
      <x:c r="F195" s="23" t="str">
        <x:v>MGI2020;ALLIANCE2024;UNIPROT2025;NCBIGENE2015;REACTOME2024</x:v>
      </x:c>
      <x:c r="G195" s="23" t="str">
        <x:v>https://www.informatics.jax.org/quicksearch/summary?queryType=exactPhrase&amp;query=Syngr2</x:v>
      </x:c>
      <x:c r="H195" s="23" t="str">
        <x:v>https://www.uniprot.org/uniprotkb?query=%28gene_exact%3ASyngr2%29+AND+%28organism_id%3A10090%29</x:v>
      </x:c>
      <x:c r="I195" s="23" t="str">
        <x:v>https://www.ncbi.nlm.nih.gov/gene/?term=Syngr2%5Bgene%5D%20AND%20Mus%20musculus%5Borgn%5D</x:v>
      </x:c>
      <x:c r="J195" s="23" t="str">
        <x:v>https://reactome.org/content/query?q=Syngr2&amp;species=Mus%20musculus</x:v>
      </x:c>
      <x:c r="K195" s="23" t="str">
        <x:v>https://pubmed.ncbi.nlm.nih.gov/?term=(Syngr2%5BTitle%2FAbstract%5D)%20AND%20(mouse%20OR%20murine)</x:v>
      </x:c>
    </x:row>
    <x:row r="196">
      <x:c r="A196" s="22" t="str">
        <x:v>Tbc1d13</x:v>
      </x:c>
      <x:c r="B196" s="23" t="str">
        <x:v>TBC1D13</x:v>
      </x:c>
      <x:c r="C196" s="23" t="str">
        <x:v>RAB GTPase regulation; trafficking</x:v>
      </x:c>
      <x:c r="D196" s="23" t="str">
        <x:v>TBC-domain RAB GTPase-activating protein with limited experimentally resolved cargo/pathway specificity.</x:v>
      </x:c>
      <x:c r="E196" s="23" t="str">
        <x:v>Low</x:v>
      </x:c>
      <x:c r="F196" s="23" t="str">
        <x:v>MGI2020;ALLIANCE2024;UNIPROT2025;NCBIGENE2015;REACTOME2024</x:v>
      </x:c>
      <x:c r="G196" s="23" t="str">
        <x:v>https://www.informatics.jax.org/quicksearch/summary?queryType=exactPhrase&amp;query=Tbc1d13</x:v>
      </x:c>
      <x:c r="H196" s="23" t="str">
        <x:v>https://www.uniprot.org/uniprotkb?query=%28gene_exact%3ATbc1d13%29+AND+%28organism_id%3A10090%29</x:v>
      </x:c>
      <x:c r="I196" s="23" t="str">
        <x:v>https://www.ncbi.nlm.nih.gov/gene/?term=Tbc1d13%5Bgene%5D%20AND%20Mus%20musculus%5Borgn%5D</x:v>
      </x:c>
      <x:c r="J196" s="23" t="str">
        <x:v>https://reactome.org/content/query?q=Tbc1d13&amp;species=Mus%20musculus</x:v>
      </x:c>
      <x:c r="K196" s="23" t="str">
        <x:v>https://pubmed.ncbi.nlm.nih.gov/?term=(Tbc1d13%5BTitle%2FAbstract%5D)%20AND%20(mouse%20OR%20murine)</x:v>
      </x:c>
    </x:row>
    <x:row r="197">
      <x:c r="A197" s="22" t="str">
        <x:v>Tgfbi</x:v>
      </x:c>
      <x:c r="B197" s="23" t="str">
        <x:v>TGFBI</x:v>
      </x:c>
      <x:c r="C197" s="23" t="str">
        <x:v>Extracellular matrix and integrin adhesion</x:v>
      </x:c>
      <x:c r="D197" s="23" t="str">
        <x:v>Secreted TGF-beta-induced matrix protein binding integrins and collagens, influencing adhesion, migration and tissue remodeling.</x:v>
      </x:c>
      <x:c r="E197" s="23" t="str">
        <x:v>High</x:v>
      </x:c>
      <x:c r="F197" s="23" t="str">
        <x:v>MGI2020;ALLIANCE2024;UNIPROT2025;NCBIGENE2015;REACTOME2024</x:v>
      </x:c>
      <x:c r="G197" s="23" t="str">
        <x:v>https://www.informatics.jax.org/quicksearch/summary?queryType=exactPhrase&amp;query=Tgfbi</x:v>
      </x:c>
      <x:c r="H197" s="23" t="str">
        <x:v>https://www.uniprot.org/uniprotkb?query=%28gene_exact%3ATgfbi%29+AND+%28organism_id%3A10090%29</x:v>
      </x:c>
      <x:c r="I197" s="23" t="str">
        <x:v>https://www.ncbi.nlm.nih.gov/gene/?term=Tgfbi%5Bgene%5D%20AND%20Mus%20musculus%5Borgn%5D</x:v>
      </x:c>
      <x:c r="J197" s="23" t="str">
        <x:v>https://reactome.org/content/query?q=Tgfbi&amp;species=Mus%20musculus</x:v>
      </x:c>
      <x:c r="K197" s="23" t="str">
        <x:v>https://pubmed.ncbi.nlm.nih.gov/?term=(Tgfbi%5BTitle%2FAbstract%5D)%20AND%20(mouse%20OR%20murine)</x:v>
      </x:c>
    </x:row>
    <x:row r="198">
      <x:c r="A198" s="22" t="str">
        <x:v>Themis2</x:v>
      </x:c>
      <x:c r="B198" s="23" t="str">
        <x:v>THEMIS2</x:v>
      </x:c>
      <x:c r="C198" s="23" t="str">
        <x:v>Myeloid receptor signal tuning</x:v>
      </x:c>
      <x:c r="D198" s="23" t="str">
        <x:v>Hematopoietic adaptor regulating TLR and cytokine-receptor signaling thresholds, partly through phosphatase-associated complexes.</x:v>
      </x:c>
      <x:c r="E198" s="23" t="str">
        <x:v>Moderate</x:v>
      </x:c>
      <x:c r="F198" s="23" t="str">
        <x:v>MGI2020;ALLIANCE2024;UNIPROT2025;NCBIGENE2015;REACTOME2024</x:v>
      </x:c>
      <x:c r="G198" s="23" t="str">
        <x:v>https://www.informatics.jax.org/quicksearch/summary?queryType=exactPhrase&amp;query=Themis2</x:v>
      </x:c>
      <x:c r="H198" s="23" t="str">
        <x:v>https://www.uniprot.org/uniprotkb?query=%28gene_exact%3AThemis2%29+AND+%28organism_id%3A10090%29</x:v>
      </x:c>
      <x:c r="I198" s="23" t="str">
        <x:v>https://www.ncbi.nlm.nih.gov/gene/?term=Themis2%5Bgene%5D%20AND%20Mus%20musculus%5Borgn%5D</x:v>
      </x:c>
      <x:c r="J198" s="23" t="str">
        <x:v>https://reactome.org/content/query?q=Themis2&amp;species=Mus%20musculus</x:v>
      </x:c>
      <x:c r="K198" s="23" t="str">
        <x:v>https://pubmed.ncbi.nlm.nih.gov/?term=(Themis2%5BTitle%2FAbstract%5D)%20AND%20(mouse%20OR%20murine)</x:v>
      </x:c>
    </x:row>
    <x:row r="199">
      <x:c r="A199" s="22" t="str">
        <x:v>Tlr13</x:v>
      </x:c>
      <x:c r="B199" s="23" t="str"/>
      <x:c r="C199" s="23" t="str">
        <x:v>Mouse bacterial-rRNA sensing</x:v>
      </x:c>
      <x:c r="D199" s="23" t="str">
        <x:v>Endosomal mouse TLR recognizing conserved bacterial 23S rRNA sequences; absent from humans.</x:v>
      </x:c>
      <x:c r="E199" s="23" t="str">
        <x:v>High</x:v>
      </x:c>
      <x:c r="F199" s="23" t="str">
        <x:v>MGI2020;ALLIANCE2024;UNIPROT2025;NCBIGENE2015;REACTOME2024</x:v>
      </x:c>
      <x:c r="G199" s="23" t="str">
        <x:v>https://www.informatics.jax.org/quicksearch/summary?queryType=exactPhrase&amp;query=Tlr13</x:v>
      </x:c>
      <x:c r="H199" s="23" t="str">
        <x:v>https://www.uniprot.org/uniprotkb?query=%28gene_exact%3ATlr13%29+AND+%28organism_id%3A10090%29</x:v>
      </x:c>
      <x:c r="I199" s="23" t="str">
        <x:v>https://www.ncbi.nlm.nih.gov/gene/?term=Tlr13%5Bgene%5D%20AND%20Mus%20musculus%5Borgn%5D</x:v>
      </x:c>
      <x:c r="J199" s="23" t="str">
        <x:v>https://reactome.org/content/query?q=Tlr13&amp;species=Mus%20musculus</x:v>
      </x:c>
      <x:c r="K199" s="23" t="str">
        <x:v>https://pubmed.ncbi.nlm.nih.gov/?term=(Tlr13%5BTitle%2FAbstract%5D)%20AND%20(mouse%20OR%20murine)</x:v>
      </x:c>
    </x:row>
    <x:row r="200">
      <x:c r="A200" s="22" t="str">
        <x:v>Tlr2</x:v>
      </x:c>
      <x:c r="B200" s="23" t="str">
        <x:v>TLR2</x:v>
      </x:c>
      <x:c r="C200" s="23" t="str">
        <x:v>Pattern recognition; lipoprotein sensing</x:v>
      </x:c>
      <x:c r="D200" s="23" t="str">
        <x:v>Cell-surface/endosomal TLR forming heterodimers with TLR1/6 to recognize microbial lipoproteins and activate MYD88-NF-kappaB/MAPK pathways.</x:v>
      </x:c>
      <x:c r="E200" s="23" t="str">
        <x:v>High</x:v>
      </x:c>
      <x:c r="F200" s="23" t="str">
        <x:v>MGI2020;ALLIANCE2024;UNIPROT2025;NCBIGENE2015;REACTOME2024</x:v>
      </x:c>
      <x:c r="G200" s="23" t="str">
        <x:v>https://www.informatics.jax.org/quicksearch/summary?queryType=exactPhrase&amp;query=Tlr2</x:v>
      </x:c>
      <x:c r="H200" s="23" t="str">
        <x:v>https://www.uniprot.org/uniprotkb?query=%28gene_exact%3ATlr2%29+AND+%28organism_id%3A10090%29</x:v>
      </x:c>
      <x:c r="I200" s="23" t="str">
        <x:v>https://www.ncbi.nlm.nih.gov/gene/?term=Tlr2%5Bgene%5D%20AND%20Mus%20musculus%5Borgn%5D</x:v>
      </x:c>
      <x:c r="J200" s="23" t="str">
        <x:v>https://reactome.org/content/query?q=Tlr2&amp;species=Mus%20musculus</x:v>
      </x:c>
      <x:c r="K200" s="23" t="str">
        <x:v>https://pubmed.ncbi.nlm.nih.gov/?term=(Tlr2%5BTitle%2FAbstract%5D)%20AND%20(mouse%20OR%20murine)</x:v>
      </x:c>
    </x:row>
    <x:row r="201">
      <x:c r="A201" s="22" t="str">
        <x:v>Tlr7</x:v>
      </x:c>
      <x:c r="B201" s="23" t="str">
        <x:v>TLR7</x:v>
      </x:c>
      <x:c r="C201" s="23" t="str">
        <x:v>Endosomal ssRNA sensing</x:v>
      </x:c>
      <x:c r="D201" s="23" t="str">
        <x:v>Endosomal TLR recognizing ssRNA and guanosine-rich ligands, activating MYD88-dependent interferon and inflammatory programs.</x:v>
      </x:c>
      <x:c r="E201" s="23" t="str">
        <x:v>High</x:v>
      </x:c>
      <x:c r="F201" s="23" t="str">
        <x:v>MGI2020;ALLIANCE2024;UNIPROT2025;NCBIGENE2015;REACTOME2024</x:v>
      </x:c>
      <x:c r="G201" s="23" t="str">
        <x:v>https://www.informatics.jax.org/quicksearch/summary?queryType=exactPhrase&amp;query=Tlr7</x:v>
      </x:c>
      <x:c r="H201" s="23" t="str">
        <x:v>https://www.uniprot.org/uniprotkb?query=%28gene_exact%3ATlr7%29+AND+%28organism_id%3A10090%29</x:v>
      </x:c>
      <x:c r="I201" s="23" t="str">
        <x:v>https://www.ncbi.nlm.nih.gov/gene/?term=Tlr7%5Bgene%5D%20AND%20Mus%20musculus%5Borgn%5D</x:v>
      </x:c>
      <x:c r="J201" s="23" t="str">
        <x:v>https://reactome.org/content/query?q=Tlr7&amp;species=Mus%20musculus</x:v>
      </x:c>
      <x:c r="K201" s="23" t="str">
        <x:v>https://pubmed.ncbi.nlm.nih.gov/?term=(Tlr7%5BTitle%2FAbstract%5D)%20AND%20(mouse%20OR%20murine)</x:v>
      </x:c>
    </x:row>
    <x:row r="202">
      <x:c r="A202" s="22" t="str">
        <x:v>Tmbim6</x:v>
      </x:c>
      <x:c r="B202" s="23" t="str">
        <x:v>TMBIM6</x:v>
      </x:c>
      <x:c r="C202" s="23" t="str">
        <x:v>ER calcium/stress homeostasis; survival</x:v>
      </x:c>
      <x:c r="D202" s="23" t="str">
        <x:v>BAX-inhibitor-1 family ER membrane protein that limits ER-stress-associated apoptosis and modulates calcium flux/UPR signaling.</x:v>
      </x:c>
      <x:c r="E202" s="23" t="str">
        <x:v>High</x:v>
      </x:c>
      <x:c r="F202" s="23" t="str">
        <x:v>MGI2020;ALLIANCE2024;UNIPROT2025;NCBIGENE2015;REACTOME2024</x:v>
      </x:c>
      <x:c r="G202" s="23" t="str">
        <x:v>https://www.informatics.jax.org/quicksearch/summary?queryType=exactPhrase&amp;query=Tmbim6</x:v>
      </x:c>
      <x:c r="H202" s="23" t="str">
        <x:v>https://www.uniprot.org/uniprotkb?query=%28gene_exact%3ATmbim6%29+AND+%28organism_id%3A10090%29</x:v>
      </x:c>
      <x:c r="I202" s="23" t="str">
        <x:v>https://www.ncbi.nlm.nih.gov/gene/?term=Tmbim6%5Bgene%5D%20AND%20Mus%20musculus%5Borgn%5D</x:v>
      </x:c>
      <x:c r="J202" s="23" t="str">
        <x:v>https://reactome.org/content/query?q=Tmbim6&amp;species=Mus%20musculus</x:v>
      </x:c>
      <x:c r="K202" s="23" t="str">
        <x:v>https://pubmed.ncbi.nlm.nih.gov/?term=(Tmbim6%5BTitle%2FAbstract%5D)%20AND%20(mouse%20OR%20murine)</x:v>
      </x:c>
    </x:row>
    <x:row r="203">
      <x:c r="A203" s="22" t="str">
        <x:v>Tmem119</x:v>
      </x:c>
      <x:c r="B203" s="23" t="str">
        <x:v>TMEM119</x:v>
      </x:c>
      <x:c r="C203" s="23" t="str">
        <x:v>Microglial identity; membrane protein</x:v>
      </x:c>
      <x:c r="D203" s="23" t="str">
        <x:v>Microglia-enriched transmembrane protein widely used to distinguish resident microglia; mechanistic function remains incompletely characterized.</x:v>
      </x:c>
      <x:c r="E203" s="23" t="str">
        <x:v>Moderate</x:v>
      </x:c>
      <x:c r="F203" s="23" t="str">
        <x:v>MGI2020;ALLIANCE2024;UNIPROT2025;NCBIGENE2015;REACTOME2024</x:v>
      </x:c>
      <x:c r="G203" s="23" t="str">
        <x:v>https://www.informatics.jax.org/quicksearch/summary?queryType=exactPhrase&amp;query=Tmem119</x:v>
      </x:c>
      <x:c r="H203" s="23" t="str">
        <x:v>https://www.uniprot.org/uniprotkb?query=%28gene_exact%3ATmem119%29+AND+%28organism_id%3A10090%29</x:v>
      </x:c>
      <x:c r="I203" s="23" t="str">
        <x:v>https://www.ncbi.nlm.nih.gov/gene/?term=Tmem119%5Bgene%5D%20AND%20Mus%20musculus%5Borgn%5D</x:v>
      </x:c>
      <x:c r="J203" s="23" t="str">
        <x:v>https://reactome.org/content/query?q=Tmem119&amp;species=Mus%20musculus</x:v>
      </x:c>
      <x:c r="K203" s="23" t="str">
        <x:v>https://pubmed.ncbi.nlm.nih.gov/?term=(Tmem119%5BTitle%2FAbstract%5D)%20AND%20(mouse%20OR%20murine)</x:v>
      </x:c>
    </x:row>
    <x:row r="204">
      <x:c r="A204" s="22" t="str">
        <x:v>Tnf</x:v>
      </x:c>
      <x:c r="B204" s="23" t="str">
        <x:v>TNF</x:v>
      </x:c>
      <x:c r="C204" s="23" t="str">
        <x:v>TNF-receptor inflammation and cell-fate signaling</x:v>
      </x:c>
      <x:c r="D204" s="23" t="str">
        <x:v>Pleiotropic cytokine activating TNFR1/TNFR2 pathways controlling inflammation, survival, apoptosis or necroptosis depending on signaling context.</x:v>
      </x:c>
      <x:c r="E204" s="23" t="str">
        <x:v>High</x:v>
      </x:c>
      <x:c r="F204" s="23" t="str">
        <x:v>MGI2020;ALLIANCE2024;UNIPROT2025;NCBIGENE2015;REACTOME2024</x:v>
      </x:c>
      <x:c r="G204" s="23" t="str">
        <x:v>https://www.informatics.jax.org/quicksearch/summary?queryType=exactPhrase&amp;query=Tnf</x:v>
      </x:c>
      <x:c r="H204" s="23" t="str">
        <x:v>https://www.uniprot.org/uniprotkb?query=%28gene_exact%3ATnf%29+AND+%28organism_id%3A10090%29</x:v>
      </x:c>
      <x:c r="I204" s="23" t="str">
        <x:v>https://www.ncbi.nlm.nih.gov/gene/?term=Tnf%5Bgene%5D%20AND%20Mus%20musculus%5Borgn%5D</x:v>
      </x:c>
      <x:c r="J204" s="23" t="str">
        <x:v>https://reactome.org/content/query?q=Tnf&amp;species=Mus%20musculus</x:v>
      </x:c>
      <x:c r="K204" s="23" t="str">
        <x:v>https://pubmed.ncbi.nlm.nih.gov/?term=(Tnf%5BTitle%2FAbstract%5D)%20AND%20(mouse%20OR%20murine)</x:v>
      </x:c>
    </x:row>
    <x:row r="205">
      <x:c r="A205" s="22" t="str">
        <x:v>Tnfaip2</x:v>
      </x:c>
      <x:c r="B205" s="23" t="str">
        <x:v>TNFAIP2</x:v>
      </x:c>
      <x:c r="C205" s="23" t="str">
        <x:v>Inflammation-induced trafficking and angiogenesis</x:v>
      </x:c>
      <x:c r="D205" s="23" t="str">
        <x:v>TNF-inducible protein associated with membrane protrusions, migration, vesicle dynamics and angiogenic/inflammatory programs.</x:v>
      </x:c>
      <x:c r="E205" s="23" t="str">
        <x:v>Moderate</x:v>
      </x:c>
      <x:c r="F205" s="23" t="str">
        <x:v>MGI2020;ALLIANCE2024;UNIPROT2025;NCBIGENE2015;REACTOME2024</x:v>
      </x:c>
      <x:c r="G205" s="23" t="str">
        <x:v>https://www.informatics.jax.org/quicksearch/summary?queryType=exactPhrase&amp;query=Tnfaip2</x:v>
      </x:c>
      <x:c r="H205" s="23" t="str">
        <x:v>https://www.uniprot.org/uniprotkb?query=%28gene_exact%3ATnfaip2%29+AND+%28organism_id%3A10090%29</x:v>
      </x:c>
      <x:c r="I205" s="23" t="str">
        <x:v>https://www.ncbi.nlm.nih.gov/gene/?term=Tnfaip2%5Bgene%5D%20AND%20Mus%20musculus%5Borgn%5D</x:v>
      </x:c>
      <x:c r="J205" s="23" t="str">
        <x:v>https://reactome.org/content/query?q=Tnfaip2&amp;species=Mus%20musculus</x:v>
      </x:c>
      <x:c r="K205" s="23" t="str">
        <x:v>https://pubmed.ncbi.nlm.nih.gov/?term=(Tnfaip2%5BTitle%2FAbstract%5D)%20AND%20(mouse%20OR%20murine)</x:v>
      </x:c>
    </x:row>
    <x:row r="206">
      <x:c r="A206" s="22" t="str">
        <x:v>Top2a</x:v>
      </x:c>
      <x:c r="B206" s="23" t="str">
        <x:v>TOP2A</x:v>
      </x:c>
      <x:c r="C206" s="23" t="str">
        <x:v>DNA topology and replication</x:v>
      </x:c>
      <x:c r="D206" s="23" t="str">
        <x:v>ATP-dependent type-II topoisomerase that resolves DNA supercoils/catenanes during replication and mitosis; poisons cause DNA-break-mediated cell death.</x:v>
      </x:c>
      <x:c r="E206" s="23" t="str">
        <x:v>High</x:v>
      </x:c>
      <x:c r="F206" s="23" t="str">
        <x:v>MGI2020;ALLIANCE2024;UNIPROT2025;NCBIGENE2015;REACTOME2024</x:v>
      </x:c>
      <x:c r="G206" s="23" t="str">
        <x:v>https://www.informatics.jax.org/quicksearch/summary?queryType=exactPhrase&amp;query=Top2a</x:v>
      </x:c>
      <x:c r="H206" s="23" t="str">
        <x:v>https://www.uniprot.org/uniprotkb?query=%28gene_exact%3ATop2a%29+AND+%28organism_id%3A10090%29</x:v>
      </x:c>
      <x:c r="I206" s="23" t="str">
        <x:v>https://www.ncbi.nlm.nih.gov/gene/?term=Top2a%5Bgene%5D%20AND%20Mus%20musculus%5Borgn%5D</x:v>
      </x:c>
      <x:c r="J206" s="23" t="str">
        <x:v>https://reactome.org/content/query?q=Top2a&amp;species=Mus%20musculus</x:v>
      </x:c>
      <x:c r="K206" s="23" t="str">
        <x:v>https://pubmed.ncbi.nlm.nih.gov/?term=(Top2a%5BTitle%2FAbstract%5D)%20AND%20(mouse%20OR%20murine)</x:v>
      </x:c>
    </x:row>
    <x:row r="207">
      <x:c r="A207" s="22" t="str">
        <x:v>Trem2</x:v>
      </x:c>
      <x:c r="B207" s="23" t="str">
        <x:v>TREM2</x:v>
      </x:c>
      <x:c r="C207" s="23" t="str">
        <x:v>Myeloid lipid sensing; phagocytosis and survival</x:v>
      </x:c>
      <x:c r="D207" s="23" t="str">
        <x:v>Immunoglobulin-family receptor signaling through TYROBP to support microglial/macrophage phagocytosis, survival and adaptation to lipid-rich debris.</x:v>
      </x:c>
      <x:c r="E207" s="23" t="str">
        <x:v>High</x:v>
      </x:c>
      <x:c r="F207" s="23" t="str">
        <x:v>MGI2020;ALLIANCE2024;UNIPROT2025;NCBIGENE2015;REACTOME2024</x:v>
      </x:c>
      <x:c r="G207" s="23" t="str">
        <x:v>https://www.informatics.jax.org/quicksearch/summary?queryType=exactPhrase&amp;query=Trem2</x:v>
      </x:c>
      <x:c r="H207" s="23" t="str">
        <x:v>https://www.uniprot.org/uniprotkb?query=%28gene_exact%3ATrem2%29+AND+%28organism_id%3A10090%29</x:v>
      </x:c>
      <x:c r="I207" s="23" t="str">
        <x:v>https://www.ncbi.nlm.nih.gov/gene/?term=Trem2%5Bgene%5D%20AND%20Mus%20musculus%5Borgn%5D</x:v>
      </x:c>
      <x:c r="J207" s="23" t="str">
        <x:v>https://reactome.org/content/query?q=Trem2&amp;species=Mus%20musculus</x:v>
      </x:c>
      <x:c r="K207" s="23" t="str">
        <x:v>https://pubmed.ncbi.nlm.nih.gov/?term=(Trem2%5BTitle%2FAbstract%5D)%20AND%20(mouse%20OR%20murine)</x:v>
      </x:c>
    </x:row>
    <x:row r="208">
      <x:c r="A208" s="22" t="str">
        <x:v>Trim30a</x:v>
      </x:c>
      <x:c r="B208" s="23" t="str">
        <x:v>TRIM5/TRIM22 (family analogs)</x:v>
      </x:c>
      <x:c r="C208" s="23" t="str">
        <x:v>Innate immune signal attenuation</x:v>
      </x:c>
      <x:c r="D208" s="23" t="str">
        <x:v>Mouse TRIM-family protein reported to restrain TLR/STING-related signaling; no strict human ortholog and mechanisms are context dependent.</x:v>
      </x:c>
      <x:c r="E208" s="23" t="str">
        <x:v>Moderate</x:v>
      </x:c>
      <x:c r="F208" s="23" t="str">
        <x:v>MGI2020;ALLIANCE2024;UNIPROT2025;NCBIGENE2015;REACTOME2024</x:v>
      </x:c>
      <x:c r="G208" s="23" t="str">
        <x:v>https://www.informatics.jax.org/quicksearch/summary?queryType=exactPhrase&amp;query=Trim30a</x:v>
      </x:c>
      <x:c r="H208" s="23" t="str">
        <x:v>https://www.uniprot.org/uniprotkb?query=%28gene_exact%3ATrim30a%29+AND+%28organism_id%3A10090%29</x:v>
      </x:c>
      <x:c r="I208" s="23" t="str">
        <x:v>https://www.ncbi.nlm.nih.gov/gene/?term=Trim30a%5Bgene%5D%20AND%20Mus%20musculus%5Borgn%5D</x:v>
      </x:c>
      <x:c r="J208" s="23" t="str">
        <x:v>https://reactome.org/content/query?q=Trim30a&amp;species=Mus%20musculus</x:v>
      </x:c>
      <x:c r="K208" s="23" t="str">
        <x:v>https://pubmed.ncbi.nlm.nih.gov/?term=(Trim30a%5BTitle%2FAbstract%5D)%20AND%20(mouse%20OR%20murine)</x:v>
      </x:c>
    </x:row>
    <x:row r="209">
      <x:c r="A209" s="22" t="str">
        <x:v>Tspan14</x:v>
      </x:c>
      <x:c r="B209" s="23" t="str">
        <x:v>TSPAN14</x:v>
      </x:c>
      <x:c r="C209" s="23" t="str">
        <x:v>ADAM10 trafficking; Notch signaling</x:v>
      </x:c>
      <x:c r="D209" s="23" t="str">
        <x:v>Tetraspanin regulating maturation, surface trafficking and substrate selectivity of ADAM10, thereby affecting Notch and ectodomain shedding.</x:v>
      </x:c>
      <x:c r="E209" s="23" t="str">
        <x:v>High</x:v>
      </x:c>
      <x:c r="F209" s="23" t="str">
        <x:v>MGI2020;ALLIANCE2024;UNIPROT2025;NCBIGENE2015;REACTOME2024</x:v>
      </x:c>
      <x:c r="G209" s="23" t="str">
        <x:v>https://www.informatics.jax.org/quicksearch/summary?queryType=exactPhrase&amp;query=Tspan14</x:v>
      </x:c>
      <x:c r="H209" s="23" t="str">
        <x:v>https://www.uniprot.org/uniprotkb?query=%28gene_exact%3ATspan14%29+AND+%28organism_id%3A10090%29</x:v>
      </x:c>
      <x:c r="I209" s="23" t="str">
        <x:v>https://www.ncbi.nlm.nih.gov/gene/?term=Tspan14%5Bgene%5D%20AND%20Mus%20musculus%5Borgn%5D</x:v>
      </x:c>
      <x:c r="J209" s="23" t="str">
        <x:v>https://reactome.org/content/query?q=Tspan14&amp;species=Mus%20musculus</x:v>
      </x:c>
      <x:c r="K209" s="23" t="str">
        <x:v>https://pubmed.ncbi.nlm.nih.gov/?term=(Tspan14%5BTitle%2FAbstract%5D)%20AND%20(mouse%20OR%20murine)</x:v>
      </x:c>
    </x:row>
    <x:row r="210">
      <x:c r="A210" s="22" t="str">
        <x:v>Tspo</x:v>
      </x:c>
      <x:c r="B210" s="23" t="str">
        <x:v>TSPO</x:v>
      </x:c>
      <x:c r="C210" s="23" t="str">
        <x:v>Mitochondrial outer-membrane stress/lipid biology</x:v>
      </x:c>
      <x:c r="D210" s="23" t="str">
        <x:v>18-kDa translocator protein binds cholesterol and ligands and is induced in activated glia; obligatory roles in steroidogenesis or apoptosis are disputed by knockout studies.</x:v>
      </x:c>
      <x:c r="E210" s="23" t="str">
        <x:v>Moderate</x:v>
      </x:c>
      <x:c r="F210" s="23" t="str">
        <x:v>MGI2020;ALLIANCE2024;UNIPROT2025;NCBIGENE2015;REACTOME2024</x:v>
      </x:c>
      <x:c r="G210" s="23" t="str">
        <x:v>https://www.informatics.jax.org/quicksearch/summary?queryType=exactPhrase&amp;query=Tspo</x:v>
      </x:c>
      <x:c r="H210" s="23" t="str">
        <x:v>https://www.uniprot.org/uniprotkb?query=%28gene_exact%3ATspo%29+AND+%28organism_id%3A10090%29</x:v>
      </x:c>
      <x:c r="I210" s="23" t="str">
        <x:v>https://www.ncbi.nlm.nih.gov/gene/?term=Tspo%5Bgene%5D%20AND%20Mus%20musculus%5Borgn%5D</x:v>
      </x:c>
      <x:c r="J210" s="23" t="str">
        <x:v>https://reactome.org/content/query?q=Tspo&amp;species=Mus%20musculus</x:v>
      </x:c>
      <x:c r="K210" s="23" t="str">
        <x:v>https://pubmed.ncbi.nlm.nih.gov/?term=(Tspo%5BTitle%2FAbstract%5D)%20AND%20(mouse%20OR%20murine)</x:v>
      </x:c>
    </x:row>
    <x:row r="211">
      <x:c r="A211" s="22" t="str">
        <x:v>Tyrobp</x:v>
      </x:c>
      <x:c r="B211" s="23" t="str">
        <x:v>TYROBP</x:v>
      </x:c>
      <x:c r="C211" s="23" t="str">
        <x:v>ITAM adaptor; myeloid receptor signaling</x:v>
      </x:c>
      <x:c r="D211" s="23" t="str">
        <x:v>DAP12 adaptor coupling TREM2 and other receptors to SYK/PI3K pathways controlling phagocytosis, survival and inflammatory responses.</x:v>
      </x:c>
      <x:c r="E211" s="23" t="str">
        <x:v>High</x:v>
      </x:c>
      <x:c r="F211" s="23" t="str">
        <x:v>MGI2020;ALLIANCE2024;UNIPROT2025;NCBIGENE2015;REACTOME2024</x:v>
      </x:c>
      <x:c r="G211" s="23" t="str">
        <x:v>https://www.informatics.jax.org/quicksearch/summary?queryType=exactPhrase&amp;query=Tyrobp</x:v>
      </x:c>
      <x:c r="H211" s="23" t="str">
        <x:v>https://www.uniprot.org/uniprotkb?query=%28gene_exact%3ATyrobp%29+AND+%28organism_id%3A10090%29</x:v>
      </x:c>
      <x:c r="I211" s="23" t="str">
        <x:v>https://www.ncbi.nlm.nih.gov/gene/?term=Tyrobp%5Bgene%5D%20AND%20Mus%20musculus%5Borgn%5D</x:v>
      </x:c>
      <x:c r="J211" s="23" t="str">
        <x:v>https://reactome.org/content/query?q=Tyrobp&amp;species=Mus%20musculus</x:v>
      </x:c>
      <x:c r="K211" s="23" t="str">
        <x:v>https://pubmed.ncbi.nlm.nih.gov/?term=(Tyrobp%5BTitle%2FAbstract%5D)%20AND%20(mouse%20OR%20murine)</x:v>
      </x:c>
    </x:row>
    <x:row r="212">
      <x:c r="A212" s="22" t="str">
        <x:v>Ucp2</x:v>
      </x:c>
      <x:c r="B212" s="23" t="str">
        <x:v>UCP2</x:v>
      </x:c>
      <x:c r="C212" s="23" t="str">
        <x:v>Mitochondrial substrate/redox regulation</x:v>
      </x:c>
      <x:c r="D212" s="23" t="str">
        <x:v>Inner-mitochondrial-carrier protein influencing coupling, substrate selection and ROS production; precise physiological transport/uncoupling action is context dependent.</x:v>
      </x:c>
      <x:c r="E212" s="23" t="str">
        <x:v>High</x:v>
      </x:c>
      <x:c r="F212" s="23" t="str">
        <x:v>MGI2020;ALLIANCE2024;UNIPROT2025;NCBIGENE2015;REACTOME2024</x:v>
      </x:c>
      <x:c r="G212" s="23" t="str">
        <x:v>https://www.informatics.jax.org/quicksearch/summary?queryType=exactPhrase&amp;query=Ucp2</x:v>
      </x:c>
      <x:c r="H212" s="23" t="str">
        <x:v>https://www.uniprot.org/uniprotkb?query=%28gene_exact%3AUcp2%29+AND+%28organism_id%3A10090%29</x:v>
      </x:c>
      <x:c r="I212" s="23" t="str">
        <x:v>https://www.ncbi.nlm.nih.gov/gene/?term=Ucp2%5Bgene%5D%20AND%20Mus%20musculus%5Borgn%5D</x:v>
      </x:c>
      <x:c r="J212" s="23" t="str">
        <x:v>https://reactome.org/content/query?q=Ucp2&amp;species=Mus%20musculus</x:v>
      </x:c>
      <x:c r="K212" s="23" t="str">
        <x:v>https://pubmed.ncbi.nlm.nih.gov/?term=(Ucp2%5BTitle%2FAbstract%5D)%20AND%20(mouse%20OR%20murine)</x:v>
      </x:c>
    </x:row>
    <x:row r="213">
      <x:c r="A213" s="22" t="str">
        <x:v>Vasp</x:v>
      </x:c>
      <x:c r="B213" s="23" t="str">
        <x:v>VASP</x:v>
      </x:c>
      <x:c r="C213" s="23" t="str">
        <x:v>Actin polymerization and adhesion</x:v>
      </x:c>
      <x:c r="D213" s="23" t="str">
        <x:v>Ena/VASP-family actin regulator promoting filament elongation and coordinating adhesion, migration and platelet responses.</x:v>
      </x:c>
      <x:c r="E213" s="23" t="str">
        <x:v>High</x:v>
      </x:c>
      <x:c r="F213" s="23" t="str">
        <x:v>MGI2020;ALLIANCE2024;UNIPROT2025;NCBIGENE2015;REACTOME2024</x:v>
      </x:c>
      <x:c r="G213" s="23" t="str">
        <x:v>https://www.informatics.jax.org/quicksearch/summary?queryType=exactPhrase&amp;query=Vasp</x:v>
      </x:c>
      <x:c r="H213" s="23" t="str">
        <x:v>https://www.uniprot.org/uniprotkb?query=%28gene_exact%3AVasp%29+AND+%28organism_id%3A10090%29</x:v>
      </x:c>
      <x:c r="I213" s="23" t="str">
        <x:v>https://www.ncbi.nlm.nih.gov/gene/?term=Vasp%5Bgene%5D%20AND%20Mus%20musculus%5Borgn%5D</x:v>
      </x:c>
      <x:c r="J213" s="23" t="str">
        <x:v>https://reactome.org/content/query?q=Vasp&amp;species=Mus%20musculus</x:v>
      </x:c>
      <x:c r="K213" s="23" t="str">
        <x:v>https://pubmed.ncbi.nlm.nih.gov/?term=(Vasp%5BTitle%2FAbstract%5D)%20AND%20(mouse%20OR%20murine)</x:v>
      </x:c>
    </x:row>
    <x:row r="214">
      <x:c r="A214" s="22" t="str">
        <x:v>Vav1</x:v>
      </x:c>
      <x:c r="B214" s="23" t="str">
        <x:v>VAV1</x:v>
      </x:c>
      <x:c r="C214" s="23" t="str">
        <x:v>RHO-family GEF; immune-receptor signaling</x:v>
      </x:c>
      <x:c r="D214" s="23" t="str">
        <x:v>Hematopoietic guanine-nucleotide exchange factor/scaffold activated by antigen and ITAM receptors to control RAC, actin and transcription.</x:v>
      </x:c>
      <x:c r="E214" s="23" t="str">
        <x:v>High</x:v>
      </x:c>
      <x:c r="F214" s="23" t="str">
        <x:v>MGI2020;ALLIANCE2024;UNIPROT2025;NCBIGENE2015;REACTOME2024</x:v>
      </x:c>
      <x:c r="G214" s="23" t="str">
        <x:v>https://www.informatics.jax.org/quicksearch/summary?queryType=exactPhrase&amp;query=Vav1</x:v>
      </x:c>
      <x:c r="H214" s="23" t="str">
        <x:v>https://www.uniprot.org/uniprotkb?query=%28gene_exact%3AVav1%29+AND+%28organism_id%3A10090%29</x:v>
      </x:c>
      <x:c r="I214" s="23" t="str">
        <x:v>https://www.ncbi.nlm.nih.gov/gene/?term=Vav1%5Bgene%5D%20AND%20Mus%20musculus%5Borgn%5D</x:v>
      </x:c>
      <x:c r="J214" s="23" t="str">
        <x:v>https://reactome.org/content/query?q=Vav1&amp;species=Mus%20musculus</x:v>
      </x:c>
      <x:c r="K214" s="23" t="str">
        <x:v>https://pubmed.ncbi.nlm.nih.gov/?term=(Vav1%5BTitle%2FAbstract%5D)%20AND%20(mouse%20OR%20murine)</x:v>
      </x:c>
    </x:row>
    <x:row r="215">
      <x:c r="A215" s="22" t="str">
        <x:v>Wdfy4</x:v>
      </x:c>
      <x:c r="B215" s="23" t="str">
        <x:v>WDFY4</x:v>
      </x:c>
      <x:c r="C215" s="23" t="str">
        <x:v>Antigen cross-presentation</x:v>
      </x:c>
      <x:c r="D215" s="23" t="str">
        <x:v>Large WD-repeat/FYVE-domain protein required in dendritic cells for efficient cross-presentation of cell-associated antigens to CD8 T cells.</x:v>
      </x:c>
      <x:c r="E215" s="23" t="str">
        <x:v>Moderate</x:v>
      </x:c>
      <x:c r="F215" s="23" t="str">
        <x:v>MGI2020;ALLIANCE2024;UNIPROT2025;NCBIGENE2015;REACTOME2024</x:v>
      </x:c>
      <x:c r="G215" s="23" t="str">
        <x:v>https://www.informatics.jax.org/quicksearch/summary?queryType=exactPhrase&amp;query=Wdfy4</x:v>
      </x:c>
      <x:c r="H215" s="23" t="str">
        <x:v>https://www.uniprot.org/uniprotkb?query=%28gene_exact%3AWdfy4%29+AND+%28organism_id%3A10090%29</x:v>
      </x:c>
      <x:c r="I215" s="23" t="str">
        <x:v>https://www.ncbi.nlm.nih.gov/gene/?term=Wdfy4%5Bgene%5D%20AND%20Mus%20musculus%5Borgn%5D</x:v>
      </x:c>
      <x:c r="J215" s="23" t="str">
        <x:v>https://reactome.org/content/query?q=Wdfy4&amp;species=Mus%20musculus</x:v>
      </x:c>
      <x:c r="K215" s="23" t="str">
        <x:v>https://pubmed.ncbi.nlm.nih.gov/?term=(Wdfy4%5BTitle%2FAbstract%5D)%20AND%20(mouse%20OR%20murine)</x:v>
      </x:c>
    </x:row>
    <x:row r="216">
      <x:c r="A216" s="22" t="str">
        <x:v>Wfdc17</x:v>
      </x:c>
      <x:c r="B216" s="23" t="str"/>
      <x:c r="C216" s="23" t="str">
        <x:v>Activated macrophage/microglia secreted inhibitor; poorly characterized</x:v>
      </x:c>
      <x:c r="D216" s="23" t="str">
        <x:v>Mouse WAP-domain protein induced in activated macrophages/microglia; predicted serine-protease inhibitor with limited biochemical validation.</x:v>
      </x:c>
      <x:c r="E216" s="23" t="str">
        <x:v>Low</x:v>
      </x:c>
      <x:c r="F216" s="23" t="str">
        <x:v>MGI2020;ALLIANCE2024;UNIPROT2025;NCBIGENE2015;REACTOME2024</x:v>
      </x:c>
      <x:c r="G216" s="23" t="str">
        <x:v>https://www.informatics.jax.org/quicksearch/summary?queryType=exactPhrase&amp;query=Wfdc17</x:v>
      </x:c>
      <x:c r="H216" s="23" t="str">
        <x:v>https://www.uniprot.org/uniprotkb?query=%28gene_exact%3AWfdc17%29+AND+%28organism_id%3A10090%29</x:v>
      </x:c>
      <x:c r="I216" s="23" t="str">
        <x:v>https://www.ncbi.nlm.nih.gov/gene/?term=Wfdc17%5Bgene%5D%20AND%20Mus%20musculus%5Borgn%5D</x:v>
      </x:c>
      <x:c r="J216" s="23" t="str">
        <x:v>https://reactome.org/content/query?q=Wfdc17&amp;species=Mus%20musculus</x:v>
      </x:c>
      <x:c r="K216" s="23" t="str">
        <x:v>https://pubmed.ncbi.nlm.nih.gov/?term=(Wfdc17%5BTitle%2FAbstract%5D)%20AND%20(mouse%20OR%20murine)</x:v>
      </x:c>
    </x:row>
    <x:row r="217">
      <x:c r="A217" s="22" t="str">
        <x:v>Xdh</x:v>
      </x:c>
      <x:c r="B217" s="23" t="str">
        <x:v>XDH</x:v>
      </x:c>
      <x:c r="C217" s="23" t="str">
        <x:v>Purine catabolism; oxidoreductase redox biology</x:v>
      </x:c>
      <x:c r="D217" s="23" t="str">
        <x:v>Xanthine oxidoreductase converts hypoxanthine to xanthine and xanthine to urate, using NAD+ or oxygen and potentially producing ROS.</x:v>
      </x:c>
      <x:c r="E217" s="23" t="str">
        <x:v>High</x:v>
      </x:c>
      <x:c r="F217" s="23" t="str">
        <x:v>MGI2020;ALLIANCE2024;UNIPROT2025;NCBIGENE2015;REACTOME2024</x:v>
      </x:c>
      <x:c r="G217" s="23" t="str">
        <x:v>https://www.informatics.jax.org/quicksearch/summary?queryType=exactPhrase&amp;query=Xdh</x:v>
      </x:c>
      <x:c r="H217" s="23" t="str">
        <x:v>https://www.uniprot.org/uniprotkb?query=%28gene_exact%3AXdh%29+AND+%28organism_id%3A10090%29</x:v>
      </x:c>
      <x:c r="I217" s="23" t="str">
        <x:v>https://www.ncbi.nlm.nih.gov/gene/?term=Xdh%5Bgene%5D%20AND%20Mus%20musculus%5Borgn%5D</x:v>
      </x:c>
      <x:c r="J217" s="23" t="str">
        <x:v>https://reactome.org/content/query?q=Xdh&amp;species=Mus%20musculus</x:v>
      </x:c>
      <x:c r="K217" s="23" t="str">
        <x:v>https://pubmed.ncbi.nlm.nih.gov/?term=(Xdh%5BTitle%2FAbstract%5D)%20AND%20(mouse%20OR%20murine)</x:v>
      </x:c>
    </x:row>
    <x:row r="218">
      <x:c r="A218" s="24" t="str">
        <x:v>Ybx2</x:v>
      </x:c>
      <x:c r="B218" s="25" t="str">
        <x:v>YBX2</x:v>
      </x:c>
      <x:c r="C218" s="25" t="str">
        <x:v>Germ-cell mRNA storage and translation control</x:v>
      </x:c>
      <x:c r="D218" s="25" t="str">
        <x:v>Y-box RNA-binding protein that packages/stabilizes stored mRNAs and delays translation during spermatogenesis/oogenesis.</x:v>
      </x:c>
      <x:c r="E218" s="25" t="str">
        <x:v>High</x:v>
      </x:c>
      <x:c r="F218" s="25" t="str">
        <x:v>MGI2020;ALLIANCE2024;UNIPROT2025;NCBIGENE2015;REACTOME2024</x:v>
      </x:c>
      <x:c r="G218" s="25" t="str">
        <x:v>https://www.informatics.jax.org/quicksearch/summary?queryType=exactPhrase&amp;query=Ybx2</x:v>
      </x:c>
      <x:c r="H218" s="25" t="str">
        <x:v>https://www.uniprot.org/uniprotkb?query=%28gene_exact%3AYbx2%29+AND+%28organism_id%3A10090%29</x:v>
      </x:c>
      <x:c r="I218" s="25" t="str">
        <x:v>https://www.ncbi.nlm.nih.gov/gene/?term=Ybx2%5Bgene%5D%20AND%20Mus%20musculus%5Borgn%5D</x:v>
      </x:c>
      <x:c r="J218" s="25" t="str">
        <x:v>https://reactome.org/content/query?q=Ybx2&amp;species=Mus%20musculus</x:v>
      </x:c>
      <x:c r="K218" s="25" t="str">
        <x:v>https://pubmed.ncbi.nlm.nih.gov/?term=(Ybx2%5BTitle%2FAbstract%5D)%20AND%20(mouse%20OR%20murine)</x:v>
      </x:c>
    </x:row>
  </x:sheetData>
  <x:mergeCells>
    <x:mergeCell ref="A1:K1"/>
    <x:mergeCell ref="A2:K2"/>
  </x:mergeCells>
  <x:conditionalFormatting sqref="E4:E218">
    <x:cfRule type="containsText" dxfId="9" priority="1" operator="containsText" text="High"/>
    <x:cfRule type="containsText" dxfId="10" priority="2" operator="containsText" text="Moderate"/>
    <x:cfRule type="containsText" dxfId="11" priority="3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6d6a35281c443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68" hidden="0" customWidth="1"/>
    <x:col min="4" max="4" width="28" hidden="0" customWidth="1"/>
    <x:col min="5" max="5" width="18" hidden="0" customWidth="1"/>
    <x:col min="6" max="6" width="28" hidden="0" customWidth="1"/>
    <x:col min="7" max="7" width="48" hidden="0" customWidth="1"/>
    <x:col min="8" max="8" width="58" hidden="0" customWidth="1"/>
  </x:cols>
  <x:sheetData>
    <x:row r="1" ht="26" customHeight="1">
      <x:c r="A1" s="84" t="str">
        <x:v>Authoritative sources and selected peer-reviewed references</x:v>
      </x:c>
      <x:c r="B1" s="84"/>
      <x:c r="C1" s="84"/>
      <x:c r="D1" s="84"/>
      <x:c r="E1" s="84"/>
      <x:c r="F1" s="84"/>
      <x:c r="G1" s="84"/>
      <x:c r="H1" s="84"/>
    </x:row>
    <x:row r="2" ht="34" customHeight="1">
      <x:c r="A2" s="7" t="str">
        <x:v>Reference keys are used throughout the workbook. Database pages linked on each gene row provide gene-specific curated evidence and embedded primary literature.</x:v>
      </x:c>
      <x:c r="B2" s="7"/>
      <x:c r="C2" s="7"/>
      <x:c r="D2" s="7"/>
      <x:c r="E2" s="7"/>
      <x:c r="F2" s="7"/>
      <x:c r="G2" s="7"/>
      <x:c r="H2" s="7"/>
    </x:row>
    <x:row r="3" ht="34" customHeight="1">
      <x:c r="A3" s="94" t="str">
        <x:v>Reference key</x:v>
      </x:c>
      <x:c r="B3" s="95" t="str">
        <x:v>Category</x:v>
      </x:c>
      <x:c r="C3" s="95" t="str">
        <x:v>Full citation</x:v>
      </x:c>
      <x:c r="D3" s="95" t="str">
        <x:v>Evidence type</x:v>
      </x:c>
      <x:c r="E3" s="95" t="str">
        <x:v>PMID / accession</x:v>
      </x:c>
      <x:c r="F3" s="95" t="str">
        <x:v>DOI</x:v>
      </x:c>
      <x:c r="G3" s="95" t="str">
        <x:v>URL</x:v>
      </x:c>
      <x:c r="H3" s="95" t="str">
        <x:v>Used for / interpretation</x:v>
      </x:c>
    </x:row>
    <x:row r="4">
      <x:c r="A4" s="22" t="str">
        <x:v>MGI2020</x:v>
      </x:c>
      <x:c r="B4" s="23" t="str">
        <x:v>Database</x:v>
      </x:c>
      <x:c r="C4" s="23" t="str">
        <x:v>Blake JA et al. Mouse Genome Database (MGD): Knowledgebase for mouse-human comparative biology. Nucleic Acids Res. 2021;49:D981-D987.</x:v>
      </x:c>
      <x:c r="D4" s="23" t="str">
        <x:v>Peer-reviewed database description</x:v>
      </x:c>
      <x:c r="E4" s="23" t="str">
        <x:v>33231642</x:v>
      </x:c>
      <x:c r="F4" s="23" t="str">
        <x:v>10.1093/nar/gkaa1083</x:v>
      </x:c>
      <x:c r="G4" s="23" t="str">
        <x:v>https://pubmed.ncbi.nlm.nih.gov/33231642/</x:v>
      </x:c>
      <x:c r="H4" s="23" t="str">
        <x:v>Mouse nomenclature, curated gene records, phenotypes and mouse-human homology.</x:v>
      </x:c>
    </x:row>
    <x:row r="5">
      <x:c r="A5" s="22" t="str">
        <x:v>ALLIANCE2024</x:v>
      </x:c>
      <x:c r="B5" s="23" t="str">
        <x:v>Database</x:v>
      </x:c>
      <x:c r="C5" s="23" t="str">
        <x:v>Alliance of Genome Resources Consortium. Updates to the Alliance of Genome Resources central infrastructure. Genetics. 2024;227:iyae049.</x:v>
      </x:c>
      <x:c r="D5" s="23" t="str">
        <x:v>Peer-reviewed database description</x:v>
      </x:c>
      <x:c r="E5" s="23" t="str">
        <x:v>38552170</x:v>
      </x:c>
      <x:c r="F5" s="23" t="str">
        <x:v>10.1093/genetics/iyae049</x:v>
      </x:c>
      <x:c r="G5" s="23" t="str">
        <x:v>https://pubmed.ncbi.nlm.nih.gov/38552170/</x:v>
      </x:c>
      <x:c r="H5" s="23" t="str">
        <x:v>Cross-species orthology; complex families can map one mouse gene to several human genes.</x:v>
      </x:c>
    </x:row>
    <x:row r="6">
      <x:c r="A6" s="22" t="str">
        <x:v>UNIPROT2025</x:v>
      </x:c>
      <x:c r="B6" s="23" t="str">
        <x:v>Database</x:v>
      </x:c>
      <x:c r="C6" s="23" t="str">
        <x:v>UniProt Consortium. UniProt: the Universal Protein Knowledgebase in 2025. Nucleic Acids Res. 2025;53:D609-D617.</x:v>
      </x:c>
      <x:c r="D6" s="23" t="str">
        <x:v>Peer-reviewed database description</x:v>
      </x:c>
      <x:c r="E6" s="23" t="str">
        <x:v>39552041</x:v>
      </x:c>
      <x:c r="F6" s="23" t="str">
        <x:v>10.1093/nar/gkae1010</x:v>
      </x:c>
      <x:c r="G6" s="23" t="str">
        <x:v>https://pubmed.ncbi.nlm.nih.gov/39552041/</x:v>
      </x:c>
      <x:c r="H6" s="23" t="str">
        <x:v>Curated protein function, catalytic activity, subcellular localization and literature links.</x:v>
      </x:c>
    </x:row>
    <x:row r="7">
      <x:c r="A7" s="22" t="str">
        <x:v>REACTOME2024</x:v>
      </x:c>
      <x:c r="B7" s="23" t="str">
        <x:v>Database</x:v>
      </x:c>
      <x:c r="C7" s="23" t="str">
        <x:v>Milacic M et al. The Reactome Pathway Knowledgebase 2024. Nucleic Acids Res. 2024;52:D672-D678.</x:v>
      </x:c>
      <x:c r="D7" s="23" t="str">
        <x:v>Peer-reviewed database description</x:v>
      </x:c>
      <x:c r="E7" s="23" t="str">
        <x:v>PMC10767911</x:v>
      </x:c>
      <x:c r="F7" s="23" t="str">
        <x:v>10.1093/nar/gkad1025</x:v>
      </x:c>
      <x:c r="G7" s="23" t="str">
        <x:v>https://pmc.ncbi.nlm.nih.gov/articles/PMC10767911/</x:v>
      </x:c>
      <x:c r="H7" s="23" t="str">
        <x:v>Manually curated, peer-reviewed molecular pathways; human pathways with inferred mouse orthology where applicable.</x:v>
      </x:c>
    </x:row>
    <x:row r="8">
      <x:c r="A8" s="22" t="str">
        <x:v>NCBIGENE2015</x:v>
      </x:c>
      <x:c r="B8" s="23" t="str">
        <x:v>Database</x:v>
      </x:c>
      <x:c r="C8" s="23" t="str">
        <x:v>Brown GR et al. Gene: a gene-centered information resource at NCBI. Nucleic Acids Res. 2015;43:D36-D42.</x:v>
      </x:c>
      <x:c r="D8" s="23" t="str">
        <x:v>Peer-reviewed database description</x:v>
      </x:c>
      <x:c r="E8" s="23" t="str">
        <x:v>25355515</x:v>
      </x:c>
      <x:c r="F8" s="23" t="str">
        <x:v>10.1093/nar/gku1055</x:v>
      </x:c>
      <x:c r="G8" s="23" t="str">
        <x:v>https://pubmed.ncbi.nlm.nih.gov/25355515/</x:v>
      </x:c>
      <x:c r="H8" s="23" t="str">
        <x:v>Gene identity, RefSeq-linked summaries, aliases and external cross-references.</x:v>
      </x:c>
    </x:row>
    <x:row r="9">
      <x:c r="A9" s="22" t="str">
        <x:v>NCCD2018</x:v>
      </x:c>
      <x:c r="B9" s="23" t="str">
        <x:v>Cell death</x:v>
      </x:c>
      <x:c r="C9" s="23" t="str">
        <x:v>Galluzzi L et al. Molecular mechanisms of cell death: recommendations of the Nomenclature Committee on Cell Death 2018. Cell Death Differ. 2018;25:486-541.</x:v>
      </x:c>
      <x:c r="D9" s="23" t="str">
        <x:v>Consensus peer-reviewed review</x:v>
      </x:c>
      <x:c r="E9" s="23" t="str">
        <x:v>29362479</x:v>
      </x:c>
      <x:c r="F9" s="23" t="str">
        <x:v>10.1038/s41418-017-0012-4</x:v>
      </x:c>
      <x:c r="G9" s="23" t="str">
        <x:v>https://pubmed.ncbi.nlm.nih.gov/29362479/</x:v>
      </x:c>
      <x:c r="H9" s="23" t="str">
        <x:v>Definitions of regulated cell-death modalities and distinction of causal versus correlative features.</x:v>
      </x:c>
    </x:row>
    <x:row r="10">
      <x:c r="A10" s="22" t="str">
        <x:v>FERRO2017</x:v>
      </x:c>
      <x:c r="B10" s="23" t="str">
        <x:v>Cell death</x:v>
      </x:c>
      <x:c r="C10" s="23" t="str">
        <x:v>Stockwell BR et al. Ferroptosis: a regulated cell death nexus linking metabolism, redox biology, and disease. Cell. 2017;171:273-285.</x:v>
      </x:c>
      <x:c r="D10" s="23" t="str">
        <x:v>Peer-reviewed review</x:v>
      </x:c>
      <x:c r="E10" s="23" t="str">
        <x:v>28985560</x:v>
      </x:c>
      <x:c r="F10" s="23" t="str">
        <x:v>10.1016/j.cell.2017.09.021</x:v>
      </x:c>
      <x:c r="G10" s="23" t="str">
        <x:v>https://pmc.ncbi.nlm.nih.gov/articles/PMC5685180/</x:v>
      </x:c>
      <x:c r="H10" s="23" t="str">
        <x:v>Ferroptosis definition and iron/lipid-peroxidation framework.</x:v>
      </x:c>
    </x:row>
    <x:row r="11">
      <x:c r="A11" s="22" t="str">
        <x:v>GSDMD2015</x:v>
      </x:c>
      <x:c r="B11" s="23" t="str">
        <x:v>Cell death</x:v>
      </x:c>
      <x:c r="C11" s="23" t="str">
        <x:v>He WT et al. Gasdermin D is an executor of pyroptosis and required for interleukin-1beta secretion. Cell Res. 2015;25:1285-1298.</x:v>
      </x:c>
      <x:c r="D11" s="23" t="str">
        <x:v>Primary research</x:v>
      </x:c>
      <x:c r="E11" s="23" t="str">
        <x:v>26611636</x:v>
      </x:c>
      <x:c r="F11" s="23" t="str">
        <x:v>10.1038/cr.2015.139</x:v>
      </x:c>
      <x:c r="G11" s="23" t="str">
        <x:v>https://pubmed.ncbi.nlm.nih.gov/26611636/</x:v>
      </x:c>
      <x:c r="H11" s="23" t="str">
        <x:v>Pyroptosis execution and IL-1beta release; IL1B is cargo, not the pore-forming executor.</x:v>
      </x:c>
    </x:row>
    <x:row r="12">
      <x:c r="A12" s="22" t="str">
        <x:v>GBP2014</x:v>
      </x:c>
      <x:c r="B12" s="23" t="str">
        <x:v>Cell death</x:v>
      </x:c>
      <x:c r="C12" s="23" t="str">
        <x:v>Pilla DM et al. Guanylate binding proteins promote caspase-11-dependent pyroptosis in response to cytoplasmic LPS. Proc Natl Acad Sci USA. 2014;111:6046-6051.</x:v>
      </x:c>
      <x:c r="D12" s="23" t="str">
        <x:v>Primary research</x:v>
      </x:c>
      <x:c r="E12" s="23" t="str">
        <x:v>24715728</x:v>
      </x:c>
      <x:c r="F12" s="23" t="str">
        <x:v>10.1073/pnas.1321700111</x:v>
      </x:c>
      <x:c r="G12" s="23" t="str">
        <x:v>https://pubmed.ncbi.nlm.nih.gov/24715728/</x:v>
      </x:c>
      <x:c r="H12" s="23" t="str">
        <x:v>Mouse chromosome-3 GBP cluster, including Gbp2, licenses caspase-11-dependent pyroptosis.</x:v>
      </x:c>
    </x:row>
    <x:row r="13">
      <x:c r="A13" s="22" t="str">
        <x:v>NAIP2023</x:v>
      </x:c>
      <x:c r="B13" s="23" t="str">
        <x:v>Cell death</x:v>
      </x:c>
      <x:c r="C13" s="23" t="str">
        <x:v>Egan MS et al. Human and mouse NAIP/NLRC4 inflammasome biology. Trends Immunol. 2023.</x:v>
      </x:c>
      <x:c r="D13" s="23" t="str">
        <x:v>Peer-reviewed review</x:v>
      </x:c>
      <x:c r="E13" s="23" t="str">
        <x:v>37058933</x:v>
      </x:c>
      <x:c r="F13" s="23" t="str"/>
      <x:c r="G13" s="23" t="str">
        <x:v>https://pubmed.ncbi.nlm.nih.gov/37058933/</x:v>
      </x:c>
      <x:c r="H13" s="23" t="str">
        <x:v>NAIP-family sensing upstream of NLRC4, caspase-1 activation and pyroptosis; mouse Naip6 senses flagellin.</x:v>
      </x:c>
    </x:row>
    <x:row r="14">
      <x:c r="A14" s="22" t="str">
        <x:v>CALR2007</x:v>
      </x:c>
      <x:c r="B14" s="23" t="str">
        <x:v>Cell death</x:v>
      </x:c>
      <x:c r="C14" s="23" t="str">
        <x:v>Obeid M et al. Calreticulin exposure dictates the immunogenicity of cancer cell death. Nat Med. 2007;13:54-61.</x:v>
      </x:c>
      <x:c r="D14" s="23" t="str">
        <x:v>Primary research</x:v>
      </x:c>
      <x:c r="E14" s="23" t="str">
        <x:v>17187072</x:v>
      </x:c>
      <x:c r="F14" s="23" t="str">
        <x:v>10.1038/nm1523</x:v>
      </x:c>
      <x:c r="G14" s="23" t="str">
        <x:v>https://pubmed.ncbi.nlm.nih.gov/17187072/</x:v>
      </x:c>
      <x:c r="H14" s="23" t="str">
        <x:v>Cell-surface CALR as a pre-apoptotic engulfment signal in immunogenic cell death; not a death executor.</x:v>
      </x:c>
    </x:row>
    <x:row r="15">
      <x:c r="A15" s="22" t="str">
        <x:v>BCL2A1_2012</x:v>
      </x:c>
      <x:c r="B15" s="23" t="str">
        <x:v>Cell death</x:v>
      </x:c>
      <x:c r="C15" s="23" t="str">
        <x:v>Vogler M. BCL2A1: the underdog in the BCL2 family. Cell Death Differ. 2012;19:67-74.</x:v>
      </x:c>
      <x:c r="D15" s="23" t="str">
        <x:v>Peer-reviewed review</x:v>
      </x:c>
      <x:c r="E15" s="23" t="str">
        <x:v>22075983</x:v>
      </x:c>
      <x:c r="F15" s="23" t="str">
        <x:v>10.1038/cdd.2011.158</x:v>
      </x:c>
      <x:c r="G15" s="23" t="str">
        <x:v>https://pubmed.ncbi.nlm.nih.gov/22075983/</x:v>
      </x:c>
      <x:c r="H15" s="23" t="str">
        <x:v>Anti-apoptotic function of BCL2A1/Bcl2a1 paralogs in hematopoietic cells.</x:v>
      </x:c>
    </x:row>
    <x:row r="16">
      <x:c r="A16" s="22" t="str">
        <x:v>C1Q2014</x:v>
      </x:c>
      <x:c r="B16" s="23" t="str">
        <x:v>Cell death</x:v>
      </x:c>
      <x:c r="C16" s="23" t="str">
        <x:v>Poon IKH et al. Apoptotic cell clearance: basic biology and therapeutic potential. Nat Rev Immunol. 2014;14:166-180.</x:v>
      </x:c>
      <x:c r="D16" s="23" t="str">
        <x:v>Peer-reviewed review</x:v>
      </x:c>
      <x:c r="E16" s="23" t="str">
        <x:v>24481336</x:v>
      </x:c>
      <x:c r="F16" s="23" t="str">
        <x:v>10.1038/nri3607</x:v>
      </x:c>
      <x:c r="G16" s="23" t="str">
        <x:v>https://pmc.ncbi.nlm.nih.gov/articles/PMC4040260/</x:v>
      </x:c>
      <x:c r="H16" s="23" t="str">
        <x:v>C1q/complement-assisted recognition and efferocytosis of apoptotic cells; clearance rather than death execution.</x:v>
      </x:c>
    </x:row>
    <x:row r="17">
      <x:c r="A17" s="22" t="str">
        <x:v>CTSD2001</x:v>
      </x:c>
      <x:c r="B17" s="23" t="str">
        <x:v>Cell death</x:v>
      </x:c>
      <x:c r="C17" s="23" t="str">
        <x:v>Kagedal K et al. The lysosomal protease cathepsin D mediates apoptosis induced by oxidative stress. FASEB J. 2001;15:1592-1594.</x:v>
      </x:c>
      <x:c r="D17" s="23" t="str">
        <x:v>Primary research</x:v>
      </x:c>
      <x:c r="E17" s="23" t="str">
        <x:v>11427495</x:v>
      </x:c>
      <x:c r="F17" s="23" t="str">
        <x:v>10.1096/fj.00-0708fje</x:v>
      </x:c>
      <x:c r="G17" s="23" t="str">
        <x:v>https://pubmed.ncbi.nlm.nih.gov/11427495/</x:v>
      </x:c>
      <x:c r="H17" s="23" t="str">
        <x:v>Context-dependent lysosomal membrane permeabilization/cathepsin-D contribution to apoptosis.</x:v>
      </x:c>
    </x:row>
    <x:row r="18">
      <x:c r="A18" s="22" t="str">
        <x:v>LGALS9_2005</x:v>
      </x:c>
      <x:c r="B18" s="23" t="str">
        <x:v>Cell death</x:v>
      </x:c>
      <x:c r="C18" s="23" t="str">
        <x:v>Zhu C et al. The Tim-3 ligand galectin-9 negatively regulates T helper type 1 immunity. Nat Immunol. 2005;6:1245-1252.</x:v>
      </x:c>
      <x:c r="D18" s="23" t="str">
        <x:v>Primary research</x:v>
      </x:c>
      <x:c r="E18" s="23" t="str">
        <x:v>16286920</x:v>
      </x:c>
      <x:c r="F18" s="23" t="str">
        <x:v>10.1038/ni1271</x:v>
      </x:c>
      <x:c r="G18" s="23" t="str">
        <x:v>https://pubmed.ncbi.nlm.nih.gov/16286920/</x:v>
      </x:c>
      <x:c r="H18" s="23" t="str">
        <x:v>TIM-3-dependent calcium signaling and death of Th1 cells; strongly context and receptor dependent.</x:v>
      </x:c>
    </x:row>
    <x:row r="19">
      <x:c r="A19" s="22" t="str">
        <x:v>NMNAT2_2010</x:v>
      </x:c>
      <x:c r="B19" s="23" t="str">
        <x:v>Metabolism and cell death</x:v>
      </x:c>
      <x:c r="C19" s="23" t="str">
        <x:v>Gilley J, Coleman MP. Endogenous Nmnat2 is an essential survival factor for maintenance of healthy axons. PLoS Biol. 2010;8:e1000300.</x:v>
      </x:c>
      <x:c r="D19" s="23" t="str">
        <x:v>Primary research</x:v>
      </x:c>
      <x:c r="E19" s="23" t="str">
        <x:v>20126265</x:v>
      </x:c>
      <x:c r="F19" s="23" t="str">
        <x:v>10.1371/journal.pbio.1000300</x:v>
      </x:c>
      <x:c r="G19" s="23" t="str">
        <x:v>https://pubmed.ncbi.nlm.nih.gov/20126265/</x:v>
      </x:c>
      <x:c r="H19" s="23" t="str">
        <x:v>NMNAT2 NAD biosynthesis and suppression of programmed axon degeneration.</x:v>
      </x:c>
    </x:row>
    <x:row r="20">
      <x:c r="A20" s="22" t="str">
        <x:v>PRKCD2003</x:v>
      </x:c>
      <x:c r="B20" s="23" t="str">
        <x:v>Cell death</x:v>
      </x:c>
      <x:c r="C20" s="23" t="str">
        <x:v>Brodie C, Blumberg PM. Regulation of cell apoptosis by protein kinase C delta. Apoptosis. 2003;8:19-27.</x:v>
      </x:c>
      <x:c r="D20" s="23" t="str">
        <x:v>Peer-reviewed review</x:v>
      </x:c>
      <x:c r="E20" s="23" t="str">
        <x:v>12510148</x:v>
      </x:c>
      <x:c r="F20" s="23" t="str">
        <x:v>10.1023/A:1021640817208</x:v>
      </x:c>
      <x:c r="G20" s="23" t="str">
        <x:v>https://pubmed.ncbi.nlm.nih.gov/12510148/</x:v>
      </x:c>
      <x:c r="H20" s="23" t="str">
        <x:v>Stimulus- and cell-type-dependent pro- and anti-apoptotic PRKCD actions.</x:v>
      </x:c>
    </x:row>
    <x:row r="21">
      <x:c r="A21" s="22" t="str">
        <x:v>STAT1_2007</x:v>
      </x:c>
      <x:c r="B21" s="23" t="str">
        <x:v>Cell death</x:v>
      </x:c>
      <x:c r="C21" s="23" t="str">
        <x:v>Kim HS, Lee MS. STAT1 as a key modulator of cell death. Cell Signal. 2007;19:454-465.</x:v>
      </x:c>
      <x:c r="D21" s="23" t="str">
        <x:v>Peer-reviewed review</x:v>
      </x:c>
      <x:c r="E21" s="23" t="str">
        <x:v>17085014</x:v>
      </x:c>
      <x:c r="F21" s="23" t="str">
        <x:v>10.1016/j.cellsig.2006.09.003</x:v>
      </x:c>
      <x:c r="G21" s="23" t="str">
        <x:v>https://pubmed.ncbi.nlm.nih.gov/17085014/</x:v>
      </x:c>
      <x:c r="H21" s="23" t="str">
        <x:v>STAT1 regulation of apoptotic and non-apoptotic death, dependent on stimulus and cell type.</x:v>
      </x:c>
    </x:row>
    <x:row r="22">
      <x:c r="A22" s="22" t="str">
        <x:v>TNF2022</x:v>
      </x:c>
      <x:c r="B22" s="23" t="str">
        <x:v>Cell death</x:v>
      </x:c>
      <x:c r="C22" s="23" t="str">
        <x:v>Van Loo G, Bertrand MJM. Death by TNF: a road to inflammation. Nat Rev Immunol. 2023;23:289-303.</x:v>
      </x:c>
      <x:c r="D22" s="23" t="str">
        <x:v>Peer-reviewed review</x:v>
      </x:c>
      <x:c r="E22" s="23" t="str">
        <x:v>36302926</x:v>
      </x:c>
      <x:c r="F22" s="23" t="str">
        <x:v>10.1038/s41577-022-00792-3</x:v>
      </x:c>
      <x:c r="G22" s="23" t="str">
        <x:v>https://pmc.ncbi.nlm.nih.gov/articles/PMC9665039/</x:v>
      </x:c>
      <x:c r="H22" s="23" t="str">
        <x:v>TNFR1 signaling decisions among NF-kappaB survival, caspase-8 apoptosis and RIPK1/RIPK3/MLKL necroptosis.</x:v>
      </x:c>
    </x:row>
    <x:row r="23">
      <x:c r="A23" s="22" t="str">
        <x:v>TMBIM6_2020</x:v>
      </x:c>
      <x:c r="B23" s="23" t="str">
        <x:v>Cell death</x:v>
      </x:c>
      <x:c r="C23" s="23" t="str">
        <x:v>Lebeaupin C et al. BAX inhibitor-1: between stress and survival. FEBS J. 2020;287:1722-1736.</x:v>
      </x:c>
      <x:c r="D23" s="23" t="str">
        <x:v>Peer-reviewed review</x:v>
      </x:c>
      <x:c r="E23" s="23" t="str">
        <x:v>31841271</x:v>
      </x:c>
      <x:c r="F23" s="23" t="str">
        <x:v>10.1111/febs.15162</x:v>
      </x:c>
      <x:c r="G23" s="23" t="str">
        <x:v>https://pubmed.ncbi.nlm.nih.gov/31841271/</x:v>
      </x:c>
      <x:c r="H23" s="23" t="str">
        <x:v>ER-resident TMBIM6/BI-1 in ER calcium homeostasis and protection from BAX/ER-stress-associated apoptosis.</x:v>
      </x:c>
    </x:row>
    <x:row r="24">
      <x:c r="A24" s="22" t="str">
        <x:v>TREM2_2020</x:v>
      </x:c>
      <x:c r="B24" s="23" t="str">
        <x:v>Metabolism</x:v>
      </x:c>
      <x:c r="C24" s="23" t="str">
        <x:v>Nugent AA et al. TREM2 regulates microglial cholesterol metabolism upon chronic phagocytic challenge. Neuron. 2020;105:837-854.e9.</x:v>
      </x:c>
      <x:c r="D24" s="23" t="str">
        <x:v>Primary research</x:v>
      </x:c>
      <x:c r="E24" s="23" t="str">
        <x:v>31902528</x:v>
      </x:c>
      <x:c r="F24" s="23" t="str">
        <x:v>10.1016/j.neuron.2019.12.007</x:v>
      </x:c>
      <x:c r="G24" s="23" t="str">
        <x:v>https://pubmed.ncbi.nlm.nih.gov/31902528/</x:v>
      </x:c>
      <x:c r="H24" s="23" t="str">
        <x:v>TREM2-dependent cholesterol handling and lipid-droplet/ester responses in myelin-phagocytosing microglia.</x:v>
      </x:c>
    </x:row>
    <x:row r="25">
      <x:c r="A25" s="22" t="str">
        <x:v>NPC2_2008</x:v>
      </x:c>
      <x:c r="B25" s="23" t="str">
        <x:v>Metabolism</x:v>
      </x:c>
      <x:c r="C25" s="23" t="str">
        <x:v>Infante RE et al. NPC2 facilitates bidirectional transfer of cholesterol between NPC1 and lipid bilayers. Proc Natl Acad Sci USA. 2008;105:15287-15292.</x:v>
      </x:c>
      <x:c r="D25" s="23" t="str">
        <x:v>Primary research</x:v>
      </x:c>
      <x:c r="E25" s="23" t="str">
        <x:v>18772377</x:v>
      </x:c>
      <x:c r="F25" s="23" t="str">
        <x:v>10.1073/pnas.0807328105</x:v>
      </x:c>
      <x:c r="G25" s="23" t="str">
        <x:v>https://pubmed.ncbi.nlm.nih.gov/18772377/</x:v>
      </x:c>
      <x:c r="H25" s="23" t="str">
        <x:v>Direct lysosomal cholesterol transfer by NPC2 in cooperation with NPC1.</x:v>
      </x:c>
    </x:row>
    <x:row r="26">
      <x:c r="A26" s="22" t="str">
        <x:v>PSAP2023</x:v>
      </x:c>
      <x:c r="B26" s="23" t="str">
        <x:v>Metabolism</x:v>
      </x:c>
      <x:c r="C26" s="23" t="str">
        <x:v>He Y et al. Prosaposin maintains lipid homeostasis in dopamine neurons and protects against Parkinson's disease. Nat Commun. 2023;14:5806.</x:v>
      </x:c>
      <x:c r="D26" s="23" t="str">
        <x:v>Primary research</x:v>
      </x:c>
      <x:c r="E26" s="23" t="str">
        <x:v>37723251</x:v>
      </x:c>
      <x:c r="F26" s="23" t="str">
        <x:v>10.1038/s41467-023-41539-5</x:v>
      </x:c>
      <x:c r="G26" s="23" t="str">
        <x:v>https://www.nature.com/articles/s41467-023-41539-5</x:v>
      </x:c>
      <x:c r="H26" s="23" t="str">
        <x:v>PSAP/saposins in lysosomal glycosphingolipid metabolism and lipid homeostasis.</x:v>
      </x:c>
    </x:row>
    <x:row r="27">
      <x:c r="A27" s="22" t="str">
        <x:v>NAGLU2022</x:v>
      </x:c>
      <x:c r="B27" s="23" t="str">
        <x:v>Metabolism</x:v>
      </x:c>
      <x:c r="C27" s="23" t="str">
        <x:v>Kaczor-Kaminska M et al. Heparan sulfate, mucopolysaccharidosis IIIB and sulfur metabolism. Int J Mol Sci. 2022;23:4497.</x:v>
      </x:c>
      <x:c r="D27" s="23" t="str">
        <x:v>Peer-reviewed review</x:v>
      </x:c>
      <x:c r="E27" s="23" t="str">
        <x:v>35457245</x:v>
      </x:c>
      <x:c r="F27" s="23" t="str">
        <x:v>10.3390/ijms23094497</x:v>
      </x:c>
      <x:c r="G27" s="23" t="str">
        <x:v>https://pmc.ncbi.nlm.nih.gov/articles/PMC9026333/</x:v>
      </x:c>
      <x:c r="H27" s="23" t="str">
        <x:v>NAGLU in stepwise lysosomal heparan-sulfate degradation.</x:v>
      </x:c>
    </x:row>
    <x:row r="28">
      <x:c r="A28" s="22" t="str">
        <x:v>LCN2_2017</x:v>
      </x:c>
      <x:c r="B28" s="23" t="str">
        <x:v>Metabolism</x:v>
      </x:c>
      <x:c r="C28" s="23" t="str">
        <x:v>Xiao X et al. Lipocalin 2: an emerging player in iron homeostasis and inflammation. Annu Rev Nutr. 2017;37:103-130.</x:v>
      </x:c>
      <x:c r="D28" s="23" t="str">
        <x:v>Peer-reviewed review</x:v>
      </x:c>
      <x:c r="E28" s="23" t="str">
        <x:v>28628361</x:v>
      </x:c>
      <x:c r="F28" s="23" t="str">
        <x:v>10.1146/annurev-nutr-071816-064559</x:v>
      </x:c>
      <x:c r="G28" s="23" t="str">
        <x:v>https://pubmed.ncbi.nlm.nih.gov/28628361/</x:v>
      </x:c>
      <x:c r="H28" s="23" t="str">
        <x:v>Siderophore binding, antimicrobial iron sequestration and context-dependent iron transport by LCN2.</x:v>
      </x:c>
    </x:row>
    <x:row r="29">
      <x:c r="A29" s="22" t="str">
        <x:v>LCN2_FERRO2022</x:v>
      </x:c>
      <x:c r="B29" s="23" t="str">
        <x:v>Cell death</x:v>
      </x:c>
      <x:c r="C29" s="23" t="str">
        <x:v>Huang Y et al. Lipocalin-2 in neutrophils induces ferroptosis in septic cardiac dysfunction. Front Cardiovasc Med. 2022;9:922534.</x:v>
      </x:c>
      <x:c r="D29" s="23" t="str">
        <x:v>Primary research</x:v>
      </x:c>
      <x:c r="E29" s="23" t="str">
        <x:v>35966358</x:v>
      </x:c>
      <x:c r="F29" s="23" t="str">
        <x:v>10.3389/fcvm.2022.922534</x:v>
      </x:c>
      <x:c r="G29" s="23" t="str">
        <x:v>https://www.frontiersin.org/articles/10.3389/fcvm.2022.922534/full</x:v>
      </x:c>
      <x:c r="H29" s="23" t="str">
        <x:v>Context-specific LCN2-driven labile iron increase and ferroptosis in septic heart; not a universal ferroptosis core gene.</x:v>
      </x:c>
    </x:row>
    <x:row r="30">
      <x:c r="A30" s="22" t="str">
        <x:v>NOX2_2010</x:v>
      </x:c>
      <x:c r="B30" s="23" t="str">
        <x:v>Metabolism</x:v>
      </x:c>
      <x:c r="C30" s="23" t="str">
        <x:v>Lam GY et al. The many roles of NOX2 NADPH oxidase-derived ROS in immunity. Semin Immunopathol. 2010;32:415-430.</x:v>
      </x:c>
      <x:c r="D30" s="23" t="str">
        <x:v>Peer-reviewed review</x:v>
      </x:c>
      <x:c r="E30" s="23" t="str">
        <x:v>20803017</x:v>
      </x:c>
      <x:c r="F30" s="23" t="str">
        <x:v>10.1007/s00281-010-0221-0</x:v>
      </x:c>
      <x:c r="G30" s="23" t="str">
        <x:v>https://pubmed.ncbi.nlm.nih.gov/20803017/</x:v>
      </x:c>
      <x:c r="H30" s="23" t="str">
        <x:v>CYBB-NCF1-NCF2-RAC2 oxidase complex and NADPH-dependent ROS production.</x:v>
      </x:c>
    </x:row>
    <x:row r="31">
      <x:c r="A31" s="22" t="str">
        <x:v>UCP2_2014</x:v>
      </x:c>
      <x:c r="B31" s="23" t="str">
        <x:v>Metabolism</x:v>
      </x:c>
      <x:c r="C31" s="23" t="str">
        <x:v>Toda C, Diano S. Mitochondrial UCP2 in the central regulation of metabolism. Best Pract Res Clin Endocrinol Metab. 2014;28:757-764.</x:v>
      </x:c>
      <x:c r="D31" s="23" t="str">
        <x:v>Peer-reviewed review</x:v>
      </x:c>
      <x:c r="E31" s="23" t="str">
        <x:v>25256770</x:v>
      </x:c>
      <x:c r="F31" s="23" t="str">
        <x:v>10.1016/j.beem.2014.02.006</x:v>
      </x:c>
      <x:c r="G31" s="23" t="str">
        <x:v>https://pubmed.ncbi.nlm.nih.gov/25256770/</x:v>
      </x:c>
      <x:c r="H31" s="23" t="str">
        <x:v>UCP2 regulation of mitochondrial substrate use, ATP coupling and ROS; physiological proton-uncoupling magnitude remains context dependent.</x:v>
      </x:c>
    </x:row>
    <x:row r="32">
      <x:c r="A32" s="22" t="str">
        <x:v>XDH2020</x:v>
      </x:c>
      <x:c r="B32" s="23" t="str">
        <x:v>Metabolism</x:v>
      </x:c>
      <x:c r="C32" s="23" t="str">
        <x:v>Furuhashi M. New insights into purine metabolism in metabolic diseases: role of xanthine oxidoreductase activity. Am J Physiol Endocrinol Metab. 2020;319:E827-E834.</x:v>
      </x:c>
      <x:c r="D32" s="23" t="str">
        <x:v>Peer-reviewed review</x:v>
      </x:c>
      <x:c r="E32" s="23" t="str">
        <x:v>32893671</x:v>
      </x:c>
      <x:c r="F32" s="23" t="str">
        <x:v>10.1152/ajpendo.00378.2020</x:v>
      </x:c>
      <x:c r="G32" s="23" t="str">
        <x:v>https://pubmed.ncbi.nlm.nih.gov/32893671/</x:v>
      </x:c>
      <x:c r="H32" s="23" t="str">
        <x:v>XDH/XOR catalysis of hypoxanthine to xanthine to urate and associated ROS generation.</x:v>
      </x:c>
    </x:row>
    <x:row r="33">
      <x:c r="A33" s="22" t="str">
        <x:v>PGD2021</x:v>
      </x:c>
      <x:c r="B33" s="23" t="str">
        <x:v>Metabolism</x:v>
      </x:c>
      <x:c r="C33" s="23" t="str">
        <x:v>Polat IH et al. Oxidative pentose phosphate pathway enzyme 6-phosphogluconate dehydrogenase in cancer metabolism. Biology. 2021;10:85.</x:v>
      </x:c>
      <x:c r="D33" s="23" t="str">
        <x:v>Peer-reviewed review</x:v>
      </x:c>
      <x:c r="E33" s="23" t="str">
        <x:v>33504073</x:v>
      </x:c>
      <x:c r="F33" s="23" t="str">
        <x:v>10.3390/biology10020085</x:v>
      </x:c>
      <x:c r="G33" s="23" t="str">
        <x:v>https://www.mdpi.com/2079-7737/10/2/85</x:v>
      </x:c>
      <x:c r="H33" s="23" t="str">
        <x:v>PGD reaction in oxidative pentose-phosphate pathway, ribulose-5-phosphate and NADPH production.</x:v>
      </x:c>
    </x:row>
    <x:row r="34">
      <x:c r="A34" s="22" t="str">
        <x:v>LRP5_2003</x:v>
      </x:c>
      <x:c r="B34" s="23" t="str">
        <x:v>Metabolism</x:v>
      </x:c>
      <x:c r="C34" s="23" t="str">
        <x:v>Fujino T et al. Low-density lipoprotein receptor-related protein 5 is essential for normal cholesterol metabolism and glucose-induced insulin secretion. Proc Natl Acad Sci USA. 2003;100:229-234.</x:v>
      </x:c>
      <x:c r="D34" s="23" t="str">
        <x:v>Primary research</x:v>
      </x:c>
      <x:c r="E34" s="23" t="str">
        <x:v>12509515</x:v>
      </x:c>
      <x:c r="F34" s="23" t="str">
        <x:v>10.1073/pnas.0133792100</x:v>
      </x:c>
      <x:c r="G34" s="23" t="str">
        <x:v>https://pubmed.ncbi.nlm.nih.gov/12509515/</x:v>
      </x:c>
      <x:c r="H34" s="23" t="str">
        <x:v>Regulatory relationship of LRP5/Wnt signaling to cholesterol and glucose homeostasis; LRP5 is not a metabolic enzyme.</x:v>
      </x:c>
    </x:row>
    <x:row r="35">
      <x:c r="A35" s="22" t="str">
        <x:v>FGFR4_2011</x:v>
      </x:c>
      <x:c r="B35" s="23" t="str">
        <x:v>Metabolism</x:v>
      </x:c>
      <x:c r="C35" s="23" t="str">
        <x:v>Wu X et al. FGF19 regulates cell proliferation, glucose and bile acid metabolism via FGFR4-dependent and independent pathways. PLoS One. 2011;6:e17868.</x:v>
      </x:c>
      <x:c r="D35" s="23" t="str">
        <x:v>Primary research</x:v>
      </x:c>
      <x:c r="E35" s="23" t="str">
        <x:v>21437243</x:v>
      </x:c>
      <x:c r="F35" s="23" t="str">
        <x:v>10.1371/journal.pone.0017868</x:v>
      </x:c>
      <x:c r="G35" s="23" t="str">
        <x:v>https://pubmed.ncbi.nlm.nih.gov/21437243/</x:v>
      </x:c>
      <x:c r="H35" s="23" t="str">
        <x:v>FGFR4-dependent suppression of hepatic bile-acid biosynthesis by FGF19/FGF15.</x:v>
      </x:c>
    </x:row>
    <x:row r="36">
      <x:c r="A36" s="22" t="str">
        <x:v>TSPO2018</x:v>
      </x:c>
      <x:c r="B36" s="23" t="str">
        <x:v>Metabolism</x:v>
      </x:c>
      <x:c r="C36" s="23" t="str">
        <x:v>Papadopoulos V et al. Translocator protein (18 kDa): an update on its function in steroidogenesis. J Neuroendocrinol. 2018;30:e12532.</x:v>
      </x:c>
      <x:c r="D36" s="23" t="str">
        <x:v>Peer-reviewed review</x:v>
      </x:c>
      <x:c r="E36" s="23" t="str">
        <x:v>28960747</x:v>
      </x:c>
      <x:c r="F36" s="23" t="str">
        <x:v>10.1111/jne.12532</x:v>
      </x:c>
      <x:c r="G36" s="23" t="str">
        <x:v>https://pmc.ncbi.nlm.nih.gov/articles/PMC5748373/</x:v>
      </x:c>
      <x:c r="H36" s="23" t="str">
        <x:v>TSPO cholesterol/steroidogenesis literature and explicit knockout-based controversy; assignments are marked disputed/contextual.</x:v>
      </x:c>
    </x:row>
    <x:row r="37">
      <x:c r="A37" s="22" t="str">
        <x:v>TWIK2_2018</x:v>
      </x:c>
      <x:c r="B37" s="23" t="str">
        <x:v>Cell death</x:v>
      </x:c>
      <x:c r="C37" s="23" t="str">
        <x:v>Di A et al. The TWIK2 potassium efflux channel in macrophages mediates NLRP3 inflammasome-induced inflammation. Immunity. 2018;49:56-65.e4.</x:v>
      </x:c>
      <x:c r="D37" s="23" t="str">
        <x:v>Primary research</x:v>
      </x:c>
      <x:c r="E37" s="23" t="str">
        <x:v>29958799</x:v>
      </x:c>
      <x:c r="F37" s="23" t="str">
        <x:v>10.1016/j.immuni.2018.04.032</x:v>
      </x:c>
      <x:c r="G37" s="23" t="str">
        <x:v>https://pubmed.ncbi.nlm.nih.gov/29958799/</x:v>
      </x:c>
      <x:c r="H37" s="23" t="str">
        <x:v>KCNK6/TWIK2-mediated potassium efflux upstream of NLRP3 inflammasome activation in macrophages.</x:v>
      </x:c>
    </x:row>
    <x:row r="38">
      <x:c r="A38" s="22" t="str">
        <x:v>OAS1_2021</x:v>
      </x:c>
      <x:c r="B38" s="23" t="str">
        <x:v>Cell death</x:v>
      </x:c>
      <x:c r="C38" s="23" t="str">
        <x:v>Boehmer DFR et al. OAS1/RNase L executes RIG-I ligand-dependent tumor cell apoptosis. Sci Immunol. 2021;6:eabe2550.</x:v>
      </x:c>
      <x:c r="D38" s="23" t="str">
        <x:v>Primary research</x:v>
      </x:c>
      <x:c r="E38" s="23" t="str">
        <x:v>34272227</x:v>
      </x:c>
      <x:c r="F38" s="23" t="str">
        <x:v>10.1126/sciimmunol.abe2550</x:v>
      </x:c>
      <x:c r="G38" s="23" t="str">
        <x:v>https://pubmed.ncbi.nlm.nih.gov/34272227/</x:v>
      </x:c>
      <x:c r="H38" s="23" t="str">
        <x:v>OAS-RNase L pathway as a causal driver of apoptosis after defined RNA sensing.</x:v>
      </x:c>
    </x:row>
    <x:row r="39">
      <x:c r="A39" s="24" t="str">
        <x:v>PDIA6_2012</x:v>
      </x:c>
      <x:c r="B39" s="25" t="str">
        <x:v>Cell death</x:v>
      </x:c>
      <x:c r="C39" s="25" t="str">
        <x:v>Vekich JA et al. Protein disulfide isomerase-associated 6 is an ATF6-inducible ER stress response protein that protects cardiac myocytes from ischemia/reperfusion-mediated cell death. J Mol Cell Cardiol. 2012;53:259-267.</x:v>
      </x:c>
      <x:c r="D39" s="25" t="str">
        <x:v>Primary research</x:v>
      </x:c>
      <x:c r="E39" s="25" t="str">
        <x:v>22609432</x:v>
      </x:c>
      <x:c r="F39" s="25" t="str">
        <x:v>10.1016/j.yjmcc.2012.05.008</x:v>
      </x:c>
      <x:c r="G39" s="25" t="str">
        <x:v>https://pubmed.ncbi.nlm.nih.gov/22609432/</x:v>
      </x:c>
      <x:c r="H39" s="25" t="str">
        <x:v>PDIA6-mediated protection from ER/ischemic stress-associated cell death in cardiac myocytes; context specific.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099af2fc35342f2"/>
  </x:tableParts>
</x:worksheet>
</file>